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텔스타이엔지\Desktop\500.이창민대표님\관리 대시보드\엑셀데이터 (1)\"/>
    </mc:Choice>
  </mc:AlternateContent>
  <xr:revisionPtr revIDLastSave="0" documentId="13_ncr:1_{C60D995C-A986-4A1B-8276-4CF689FD2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세내역" sheetId="3" r:id="rId1"/>
  </sheets>
  <definedNames>
    <definedName name="_xlnm._FilterDatabase" localSheetId="0" hidden="1">상세내역!$B$4:$M$4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K2" i="3"/>
  <c r="J2" i="3"/>
  <c r="I2" i="3"/>
  <c r="M2" i="3" l="1"/>
</calcChain>
</file>

<file path=xl/sharedStrings.xml><?xml version="1.0" encoding="utf-8"?>
<sst xmlns="http://schemas.openxmlformats.org/spreadsheetml/2006/main" count="387" uniqueCount="117">
  <si>
    <t>ATC PLATE</t>
  </si>
  <si>
    <t>발주번호</t>
    <phoneticPr fontId="2" type="noConversion"/>
  </si>
  <si>
    <t>프로젝트번호</t>
    <phoneticPr fontId="2" type="noConversion"/>
  </si>
  <si>
    <t>프로젝트금액</t>
  </si>
  <si>
    <t>TA20240702</t>
  </si>
  <si>
    <t>냉각수모듈 조립라인 (에아솔루브(헝가리))-건- 202408012</t>
  </si>
  <si>
    <t>TL20250903</t>
  </si>
  <si>
    <t>SNT상용1톤 리어액슬 조립라인 신작(화신 전주)</t>
  </si>
  <si>
    <t>TA20260102</t>
  </si>
  <si>
    <t>액슬샤프트 조립라인 신작(태양전주)</t>
  </si>
  <si>
    <t>ATC</t>
  </si>
  <si>
    <t>TA20260312</t>
  </si>
  <si>
    <t>JG기종추가2라인프트 TURN기능 추가 외5건</t>
  </si>
  <si>
    <t>화신 상용1톤 리어액슬 조립라인 신작(SNT전주)</t>
  </si>
  <si>
    <t>TA20260308</t>
  </si>
  <si>
    <t>FR리어액슬 조립라인 HEV기종추가 개조 SCO(유아창원)</t>
  </si>
  <si>
    <t>TA20260309</t>
  </si>
  <si>
    <t>OP2607010003</t>
  </si>
  <si>
    <t>TW20260101</t>
  </si>
  <si>
    <t>TA20250605</t>
  </si>
  <si>
    <t>수금대기</t>
    <phoneticPr fontId="2" type="noConversion"/>
  </si>
  <si>
    <t>수주금액</t>
    <phoneticPr fontId="2" type="noConversion"/>
  </si>
  <si>
    <t>수금 완료</t>
    <phoneticPr fontId="2" type="noConversion"/>
  </si>
  <si>
    <t>현미수금</t>
    <phoneticPr fontId="2" type="noConversion"/>
  </si>
  <si>
    <t>7월 15일 세금계산서 비용 수금완료시</t>
    <phoneticPr fontId="2" type="noConversion"/>
  </si>
  <si>
    <t>고객사</t>
    <phoneticPr fontId="2" type="noConversion"/>
  </si>
  <si>
    <t>시스템알앤디</t>
    <phoneticPr fontId="2" type="noConversion"/>
  </si>
  <si>
    <t>▣ 7월 미수금 현황</t>
    <phoneticPr fontId="2" type="noConversion"/>
  </si>
  <si>
    <t>연도</t>
    <phoneticPr fontId="2" type="noConversion"/>
  </si>
  <si>
    <t>프로젝트명</t>
    <phoneticPr fontId="2" type="noConversion"/>
  </si>
  <si>
    <t>구분</t>
  </si>
  <si>
    <t>금액</t>
  </si>
  <si>
    <t>세금계산서발행</t>
  </si>
  <si>
    <t>수금액</t>
  </si>
  <si>
    <t>미결제금액(TC)</t>
  </si>
  <si>
    <t>비고</t>
    <phoneticPr fontId="2" type="noConversion"/>
  </si>
  <si>
    <t>텔스타</t>
  </si>
  <si>
    <t>삼기ES</t>
  </si>
  <si>
    <t>디아이티</t>
  </si>
  <si>
    <t>세미앤솔</t>
  </si>
  <si>
    <t>나린테크</t>
  </si>
  <si>
    <t>㈜삼기/서산</t>
  </si>
  <si>
    <t>동도/대구</t>
  </si>
  <si>
    <t>엠프로텍</t>
  </si>
  <si>
    <t>GK인더스트리</t>
  </si>
  <si>
    <t>부라다워너</t>
  </si>
  <si>
    <t>와이드컷</t>
  </si>
  <si>
    <t>OP2412180002</t>
  </si>
  <si>
    <t>TW20240701
2</t>
  </si>
  <si>
    <t>OP2412180003</t>
  </si>
  <si>
    <t>TW20241201</t>
  </si>
  <si>
    <t>OP2409270005</t>
  </si>
  <si>
    <t>OP2505130003</t>
  </si>
  <si>
    <t xml:space="preserve">TA20241207 </t>
  </si>
  <si>
    <t xml:space="preserve">OP2506230004 </t>
  </si>
  <si>
    <t>TA20241206</t>
  </si>
  <si>
    <t>OP2507080003</t>
  </si>
  <si>
    <t>TA20240207</t>
  </si>
  <si>
    <t>OP2508140002</t>
  </si>
  <si>
    <t>OP2509300005</t>
  </si>
  <si>
    <t>OP2510270001</t>
  </si>
  <si>
    <t>PO2511260005</t>
  </si>
  <si>
    <t>PO2601160001</t>
  </si>
  <si>
    <t>PO2601160002</t>
  </si>
  <si>
    <t>PO2601260010</t>
  </si>
  <si>
    <t>PO2601290011</t>
  </si>
  <si>
    <t>OP2603030013</t>
  </si>
  <si>
    <t>PO2603050006</t>
  </si>
  <si>
    <t>PO2603050008</t>
  </si>
  <si>
    <t>OP2603180001</t>
  </si>
  <si>
    <t>TA20250604</t>
  </si>
  <si>
    <t>OP2603180004</t>
  </si>
  <si>
    <t>TMS20250701</t>
  </si>
  <si>
    <t>OP2604240005</t>
  </si>
  <si>
    <t>PO2605200001</t>
  </si>
  <si>
    <t>OP2605190008</t>
  </si>
  <si>
    <t>OP2605220009</t>
  </si>
  <si>
    <t>OP2605220010</t>
  </si>
  <si>
    <t>PO2607280004</t>
  </si>
  <si>
    <t>CM20260601</t>
  </si>
  <si>
    <t>POZ20260301316</t>
  </si>
  <si>
    <t>예정</t>
  </si>
  <si>
    <t>26-ED04007호</t>
  </si>
  <si>
    <t>26-ED04077호</t>
  </si>
  <si>
    <t>SEMI-260511</t>
  </si>
  <si>
    <t>16-TD08005</t>
  </si>
  <si>
    <t>GK25-1114-01</t>
  </si>
  <si>
    <t>제2026-020601호</t>
  </si>
  <si>
    <t>제2025-011102호</t>
  </si>
  <si>
    <t>AGV물류자동화 시스템(세플러 안산)</t>
  </si>
  <si>
    <t>계약금</t>
  </si>
  <si>
    <t>중도금</t>
  </si>
  <si>
    <t>잔금</t>
  </si>
  <si>
    <t>AMR 툴박스 반송 자동화장치</t>
  </si>
  <si>
    <t>중도금2차</t>
  </si>
  <si>
    <t>H-PROJECT SUB PALLET 3종 제작(HMC(U)건 20250415</t>
  </si>
  <si>
    <t>H PRO´ HEAD SUB 부족품 대응(HMC(U)건 20250609</t>
  </si>
  <si>
    <t>PDL 리벳프레스 SUB 제작(멕시코 발레오)건</t>
  </si>
  <si>
    <t>냉각수 모듈 조립1라인 기종추가 개조(위아창원)</t>
  </si>
  <si>
    <t>유럽3차동 냉각수모듈 조립라인 신작(위아 솔로바키아)</t>
  </si>
  <si>
    <t>WORK GRIPPER JAW 외1건</t>
  </si>
  <si>
    <t>KT분당서울대병원 인터넷 사용료(25년1월10월)</t>
  </si>
  <si>
    <t>컬랩서블 카트리지 개조(2공장 액슬 컴팽니언 (위아창원))</t>
  </si>
  <si>
    <t>AGV 물류자동화 시스템SCO_4차(세플러 안산)</t>
  </si>
  <si>
    <t>ATC PLATE -OMEGA4R/T_125(10)&amp; 케이블고정휠 제작(THC)건</t>
  </si>
  <si>
    <t>북미HPCU+파워모듈신작(1.2라인 시스템알앤디)</t>
  </si>
  <si>
    <t>북미HPCU+파워모듈신작(1.2라인 시스템알앤디)(추가건)</t>
  </si>
  <si>
    <t>사진촬영 자동화(삼기에너지솔루션즈)비젼 시스템</t>
  </si>
  <si>
    <t>DIT 계사 모니터링 시스템</t>
  </si>
  <si>
    <t>반자동 자삽기 비젼부품및 프로그램</t>
  </si>
  <si>
    <t>CENTERING HOLDER &amp; ADPTOR/20 SET</t>
  </si>
  <si>
    <t xml:space="preserve">THETA3 OILPAN AUTO MEAS. SYSTEM/MOIFY </t>
  </si>
  <si>
    <t>AIR GAGE HEAD/2 SET</t>
  </si>
  <si>
    <t>SHAFT R/O MEAS. SYSTEM/MODIFY</t>
  </si>
  <si>
    <t>RETAINNER AUTO MEAS. SYSTEM</t>
  </si>
  <si>
    <t>BEAD RING ASS'Y M/C</t>
  </si>
  <si>
    <t>2026-06-05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</si>
</sst>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yyyy\-mm\-dd"/>
    <numFmt numFmtId="177" formatCode="\₩#,##0"/>
    <numFmt numFmtId="178" formatCode="_-&quot;₩&quot;* #,##0.0_-;\-&quot;₩&quot;* #,##0.0_-;_-&quot;₩&quot;* &quot;-&quot;?_-;_-@_-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10"/>
      <name val="Arial"/>
      <family val="2"/>
    </font>
    <font>
      <sz val="11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20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1"/>
      <color rgb="FF0000FF"/>
      <name val="현대하모니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2" fontId="3" fillId="0" borderId="1" xfId="0" applyNumberFormat="1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7" fillId="0" borderId="0" xfId="0" applyFont="1"/>
    <xf numFmtId="0" fontId="3" fillId="0" borderId="1" xfId="0" applyFont="1" applyBorder="1"/>
    <xf numFmtId="176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vertical="center"/>
    </xf>
    <xf numFmtId="41" fontId="3" fillId="0" borderId="1" xfId="1" applyFont="1" applyBorder="1" applyAlignment="1">
      <alignment horizontal="center" vertical="center"/>
    </xf>
    <xf numFmtId="41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Border="1" applyAlignment="1">
      <alignment vertical="center"/>
    </xf>
    <xf numFmtId="42" fontId="6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vertical="center"/>
    </xf>
    <xf numFmtId="42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4">
    <cellStyle name="쉼표 [0]" xfId="1" builtinId="6"/>
    <cellStyle name="표준" xfId="0" builtinId="0"/>
    <cellStyle name="표준 2" xfId="2" xr:uid="{DB68EDE1-BB99-4EE6-B23E-162A3C22E544}"/>
    <cellStyle name="표준 3" xfId="3" xr:uid="{916D1F4E-C271-405E-8BA3-36E6DF73A59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4621-F728-4BCC-902D-64723F3F7956}">
  <dimension ref="B1:M81"/>
  <sheetViews>
    <sheetView tabSelected="1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74" sqref="F74"/>
    </sheetView>
  </sheetViews>
  <sheetFormatPr defaultRowHeight="18" customHeight="1" x14ac:dyDescent="0.15"/>
  <cols>
    <col min="1" max="1" width="1.375" style="2" customWidth="1"/>
    <col min="2" max="2" width="8.875" style="2" bestFit="1" customWidth="1"/>
    <col min="3" max="3" width="16.625" style="2" bestFit="1" customWidth="1"/>
    <col min="4" max="4" width="17.125" style="2" bestFit="1" customWidth="1"/>
    <col min="5" max="5" width="12.25" style="2" bestFit="1" customWidth="1"/>
    <col min="6" max="6" width="58.375" style="2" bestFit="1" customWidth="1"/>
    <col min="7" max="7" width="18.125" style="2" bestFit="1" customWidth="1"/>
    <col min="8" max="8" width="10.875" style="2" bestFit="1" customWidth="1"/>
    <col min="9" max="9" width="16.125" style="2" bestFit="1" customWidth="1"/>
    <col min="10" max="10" width="13.25" style="2" bestFit="1" customWidth="1"/>
    <col min="11" max="12" width="16.125" style="2" bestFit="1" customWidth="1"/>
    <col min="13" max="13" width="31.375" style="2" bestFit="1" customWidth="1"/>
    <col min="14" max="16384" width="9" style="2"/>
  </cols>
  <sheetData>
    <row r="1" spans="2:13" ht="18" customHeight="1" x14ac:dyDescent="0.15">
      <c r="B1" s="17" t="s">
        <v>27</v>
      </c>
      <c r="C1" s="17"/>
      <c r="D1" s="17"/>
      <c r="E1" s="17"/>
      <c r="F1" s="17"/>
      <c r="G1" s="14"/>
      <c r="I1" s="1" t="s">
        <v>21</v>
      </c>
      <c r="J1" s="1" t="s">
        <v>20</v>
      </c>
      <c r="K1" s="1" t="s">
        <v>22</v>
      </c>
      <c r="L1" s="1" t="s">
        <v>23</v>
      </c>
      <c r="M1" s="4" t="s">
        <v>24</v>
      </c>
    </row>
    <row r="2" spans="2:13" ht="18" customHeight="1" x14ac:dyDescent="0.15">
      <c r="B2" s="17"/>
      <c r="C2" s="17"/>
      <c r="D2" s="17"/>
      <c r="E2" s="17"/>
      <c r="F2" s="17"/>
      <c r="G2" s="14"/>
      <c r="I2" s="12">
        <f>SUMIF(H4:H499,"계약금",G4:G499)</f>
        <v>4408235340</v>
      </c>
      <c r="J2" s="12">
        <f>SUMIF(J4:J499,"*",I4:I499)</f>
        <v>18600000</v>
      </c>
      <c r="K2" s="12">
        <f>SUM(K4:K499)</f>
        <v>2652606840</v>
      </c>
      <c r="L2" s="12">
        <f>SUM(L4:L499)</f>
        <v>859928500</v>
      </c>
      <c r="M2" s="13">
        <f>L2-J2</f>
        <v>841328500</v>
      </c>
    </row>
    <row r="3" spans="2:13" ht="5.0999999999999996" customHeight="1" x14ac:dyDescent="0.15"/>
    <row r="4" spans="2:13" ht="18" customHeight="1" x14ac:dyDescent="0.15">
      <c r="B4" s="3" t="s">
        <v>28</v>
      </c>
      <c r="C4" s="3" t="s">
        <v>1</v>
      </c>
      <c r="D4" s="3" t="s">
        <v>2</v>
      </c>
      <c r="E4" s="3" t="s">
        <v>25</v>
      </c>
      <c r="F4" s="3" t="s">
        <v>29</v>
      </c>
      <c r="G4" s="3" t="s">
        <v>3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</row>
    <row r="5" spans="2:13" ht="18" customHeight="1" x14ac:dyDescent="0.15">
      <c r="B5" s="18">
        <v>2024</v>
      </c>
      <c r="C5" s="1" t="s">
        <v>47</v>
      </c>
      <c r="D5" s="1" t="s">
        <v>48</v>
      </c>
      <c r="E5" s="1" t="s">
        <v>36</v>
      </c>
      <c r="F5" s="11" t="s">
        <v>89</v>
      </c>
      <c r="G5" s="5">
        <v>94000000</v>
      </c>
      <c r="H5" s="5" t="s">
        <v>90</v>
      </c>
      <c r="I5" s="5">
        <v>28200000</v>
      </c>
      <c r="J5" s="10"/>
      <c r="K5" s="5">
        <v>28200000</v>
      </c>
      <c r="L5" s="5">
        <v>0</v>
      </c>
      <c r="M5" s="4"/>
    </row>
    <row r="6" spans="2:13" ht="18" customHeight="1" x14ac:dyDescent="0.15">
      <c r="B6" s="19">
        <v>2024</v>
      </c>
      <c r="C6" s="1" t="s">
        <v>47</v>
      </c>
      <c r="D6" s="1" t="s">
        <v>48</v>
      </c>
      <c r="E6" s="1" t="s">
        <v>36</v>
      </c>
      <c r="F6" s="11" t="s">
        <v>89</v>
      </c>
      <c r="G6" s="5">
        <v>94000000</v>
      </c>
      <c r="H6" s="5" t="s">
        <v>91</v>
      </c>
      <c r="I6" s="5">
        <v>18800000</v>
      </c>
      <c r="J6" s="10"/>
      <c r="K6" s="5">
        <v>18800000</v>
      </c>
      <c r="L6" s="5">
        <v>0</v>
      </c>
      <c r="M6" s="4"/>
    </row>
    <row r="7" spans="2:13" ht="18" customHeight="1" x14ac:dyDescent="0.15">
      <c r="B7" s="20">
        <v>2024</v>
      </c>
      <c r="C7" s="1" t="s">
        <v>47</v>
      </c>
      <c r="D7" s="1" t="s">
        <v>48</v>
      </c>
      <c r="E7" s="1" t="s">
        <v>36</v>
      </c>
      <c r="F7" s="11" t="s">
        <v>89</v>
      </c>
      <c r="G7" s="5">
        <v>94000000</v>
      </c>
      <c r="H7" s="5" t="s">
        <v>92</v>
      </c>
      <c r="I7" s="5">
        <v>4800000</v>
      </c>
      <c r="J7" s="10"/>
      <c r="K7" s="5">
        <v>4800000</v>
      </c>
      <c r="L7" s="5">
        <v>0</v>
      </c>
      <c r="M7" s="6"/>
    </row>
    <row r="8" spans="2:13" ht="18" customHeight="1" x14ac:dyDescent="0.15">
      <c r="B8" s="21">
        <v>2024</v>
      </c>
      <c r="C8" s="1" t="s">
        <v>49</v>
      </c>
      <c r="D8" s="1" t="s">
        <v>50</v>
      </c>
      <c r="E8" s="1" t="s">
        <v>36</v>
      </c>
      <c r="F8" s="11" t="s">
        <v>93</v>
      </c>
      <c r="G8" s="5">
        <v>18000000</v>
      </c>
      <c r="H8" s="5" t="s">
        <v>90</v>
      </c>
      <c r="I8" s="5">
        <v>3600000</v>
      </c>
      <c r="J8" s="10"/>
      <c r="K8" s="5">
        <v>3600000</v>
      </c>
      <c r="L8" s="5">
        <v>0</v>
      </c>
      <c r="M8" s="4"/>
    </row>
    <row r="9" spans="2:13" ht="18" customHeight="1" x14ac:dyDescent="0.15">
      <c r="B9" s="19">
        <v>2024</v>
      </c>
      <c r="C9" s="1" t="s">
        <v>49</v>
      </c>
      <c r="D9" s="1" t="s">
        <v>50</v>
      </c>
      <c r="E9" s="1" t="s">
        <v>36</v>
      </c>
      <c r="F9" s="11" t="s">
        <v>93</v>
      </c>
      <c r="G9" s="5">
        <v>18000000</v>
      </c>
      <c r="H9" s="5" t="s">
        <v>91</v>
      </c>
      <c r="I9" s="5">
        <v>10800000</v>
      </c>
      <c r="J9" s="10"/>
      <c r="K9" s="5">
        <v>10800000</v>
      </c>
      <c r="L9" s="5">
        <v>0</v>
      </c>
      <c r="M9" s="4"/>
    </row>
    <row r="10" spans="2:13" ht="18" customHeight="1" x14ac:dyDescent="0.15">
      <c r="B10" s="20">
        <v>2024</v>
      </c>
      <c r="C10" s="1" t="s">
        <v>49</v>
      </c>
      <c r="D10" s="1" t="s">
        <v>50</v>
      </c>
      <c r="E10" s="1" t="s">
        <v>36</v>
      </c>
      <c r="F10" s="11" t="s">
        <v>93</v>
      </c>
      <c r="G10" s="5">
        <v>18000000</v>
      </c>
      <c r="H10" s="5" t="s">
        <v>92</v>
      </c>
      <c r="I10" s="5">
        <v>3600000</v>
      </c>
      <c r="J10" s="10"/>
      <c r="K10" s="5">
        <v>3600000</v>
      </c>
      <c r="L10" s="5">
        <v>0</v>
      </c>
      <c r="M10" s="4"/>
    </row>
    <row r="11" spans="2:13" ht="18" customHeight="1" x14ac:dyDescent="0.15">
      <c r="B11" s="21">
        <v>2024</v>
      </c>
      <c r="C11" s="1" t="s">
        <v>51</v>
      </c>
      <c r="D11" s="1" t="s">
        <v>4</v>
      </c>
      <c r="E11" s="1" t="s">
        <v>36</v>
      </c>
      <c r="F11" s="11" t="s">
        <v>5</v>
      </c>
      <c r="G11" s="5">
        <v>700000000</v>
      </c>
      <c r="H11" s="5" t="s">
        <v>90</v>
      </c>
      <c r="I11" s="5">
        <v>210000000</v>
      </c>
      <c r="J11" s="10"/>
      <c r="K11" s="5">
        <v>210000000</v>
      </c>
      <c r="L11" s="5">
        <v>0</v>
      </c>
      <c r="M11" s="4"/>
    </row>
    <row r="12" spans="2:13" ht="18" customHeight="1" x14ac:dyDescent="0.15">
      <c r="B12" s="19">
        <v>2024</v>
      </c>
      <c r="C12" s="1" t="s">
        <v>51</v>
      </c>
      <c r="D12" s="1" t="s">
        <v>4</v>
      </c>
      <c r="E12" s="1" t="s">
        <v>36</v>
      </c>
      <c r="F12" s="11" t="s">
        <v>5</v>
      </c>
      <c r="G12" s="5">
        <v>700000000</v>
      </c>
      <c r="H12" s="5" t="s">
        <v>91</v>
      </c>
      <c r="I12" s="5">
        <v>35000000</v>
      </c>
      <c r="J12" s="10"/>
      <c r="K12" s="5">
        <v>35000000</v>
      </c>
      <c r="L12" s="5">
        <v>0</v>
      </c>
      <c r="M12" s="4"/>
    </row>
    <row r="13" spans="2:13" ht="18" customHeight="1" x14ac:dyDescent="0.15">
      <c r="B13" s="19">
        <v>2024</v>
      </c>
      <c r="C13" s="1" t="s">
        <v>51</v>
      </c>
      <c r="D13" s="1" t="s">
        <v>4</v>
      </c>
      <c r="E13" s="1" t="s">
        <v>36</v>
      </c>
      <c r="F13" s="11" t="s">
        <v>5</v>
      </c>
      <c r="G13" s="5">
        <v>700000000</v>
      </c>
      <c r="H13" s="5" t="s">
        <v>94</v>
      </c>
      <c r="I13" s="5">
        <v>37400000</v>
      </c>
      <c r="J13" s="10"/>
      <c r="K13" s="5">
        <v>37400000</v>
      </c>
      <c r="L13" s="5">
        <v>0</v>
      </c>
      <c r="M13" s="4"/>
    </row>
    <row r="14" spans="2:13" ht="18" customHeight="1" x14ac:dyDescent="0.15">
      <c r="B14" s="20">
        <v>2024</v>
      </c>
      <c r="C14" s="1" t="s">
        <v>51</v>
      </c>
      <c r="D14" s="1" t="s">
        <v>4</v>
      </c>
      <c r="E14" s="1" t="s">
        <v>36</v>
      </c>
      <c r="F14" s="11" t="s">
        <v>5</v>
      </c>
      <c r="G14" s="5">
        <v>700000000</v>
      </c>
      <c r="H14" s="5" t="s">
        <v>92</v>
      </c>
      <c r="I14" s="5">
        <v>35000000</v>
      </c>
      <c r="J14" s="10">
        <v>46169</v>
      </c>
      <c r="K14" s="5"/>
      <c r="L14" s="5">
        <v>35000000</v>
      </c>
      <c r="M14" s="4"/>
    </row>
    <row r="15" spans="2:13" ht="18" customHeight="1" x14ac:dyDescent="0.15">
      <c r="B15" s="21">
        <v>2025</v>
      </c>
      <c r="C15" s="1" t="s">
        <v>52</v>
      </c>
      <c r="D15" s="1" t="s">
        <v>53</v>
      </c>
      <c r="E15" s="1" t="s">
        <v>36</v>
      </c>
      <c r="F15" s="11" t="s">
        <v>95</v>
      </c>
      <c r="G15" s="5">
        <v>115000000</v>
      </c>
      <c r="H15" s="5" t="s">
        <v>90</v>
      </c>
      <c r="I15" s="5">
        <v>23000000</v>
      </c>
      <c r="J15" s="10"/>
      <c r="K15" s="5">
        <v>23000000</v>
      </c>
      <c r="L15" s="5">
        <v>0</v>
      </c>
      <c r="M15" s="4"/>
    </row>
    <row r="16" spans="2:13" ht="18" customHeight="1" x14ac:dyDescent="0.15">
      <c r="B16" s="19">
        <v>2025</v>
      </c>
      <c r="C16" s="1" t="s">
        <v>52</v>
      </c>
      <c r="D16" s="1" t="s">
        <v>53</v>
      </c>
      <c r="E16" s="1" t="s">
        <v>36</v>
      </c>
      <c r="F16" s="11" t="s">
        <v>95</v>
      </c>
      <c r="G16" s="5">
        <v>115000000</v>
      </c>
      <c r="H16" s="5" t="s">
        <v>91</v>
      </c>
      <c r="I16" s="5">
        <v>34500000</v>
      </c>
      <c r="J16" s="10"/>
      <c r="K16" s="5">
        <v>34500000</v>
      </c>
      <c r="L16" s="5">
        <v>0</v>
      </c>
      <c r="M16" s="4"/>
    </row>
    <row r="17" spans="2:13" ht="18" customHeight="1" x14ac:dyDescent="0.15">
      <c r="B17" s="19">
        <v>2025</v>
      </c>
      <c r="C17" s="1" t="s">
        <v>52</v>
      </c>
      <c r="D17" s="1" t="s">
        <v>53</v>
      </c>
      <c r="E17" s="1" t="s">
        <v>36</v>
      </c>
      <c r="F17" s="11" t="s">
        <v>95</v>
      </c>
      <c r="G17" s="5">
        <v>115000000</v>
      </c>
      <c r="H17" s="5" t="s">
        <v>94</v>
      </c>
      <c r="I17" s="5">
        <v>34500000</v>
      </c>
      <c r="J17" s="1"/>
      <c r="K17" s="5">
        <v>34500000</v>
      </c>
      <c r="L17" s="5">
        <v>0</v>
      </c>
      <c r="M17" s="7"/>
    </row>
    <row r="18" spans="2:13" ht="18" customHeight="1" x14ac:dyDescent="0.15">
      <c r="B18" s="20">
        <v>2025</v>
      </c>
      <c r="C18" s="1" t="s">
        <v>52</v>
      </c>
      <c r="D18" s="1" t="s">
        <v>53</v>
      </c>
      <c r="E18" s="1" t="s">
        <v>36</v>
      </c>
      <c r="F18" s="11" t="s">
        <v>95</v>
      </c>
      <c r="G18" s="5">
        <v>115000000</v>
      </c>
      <c r="H18" s="5" t="s">
        <v>92</v>
      </c>
      <c r="I18" s="5">
        <v>23000000</v>
      </c>
      <c r="J18" s="1"/>
      <c r="K18" s="5">
        <v>23000000</v>
      </c>
      <c r="L18" s="5">
        <v>0</v>
      </c>
      <c r="M18" s="7"/>
    </row>
    <row r="19" spans="2:13" ht="18" customHeight="1" x14ac:dyDescent="0.15">
      <c r="B19" s="22">
        <v>2025</v>
      </c>
      <c r="C19" s="1" t="s">
        <v>54</v>
      </c>
      <c r="D19" s="1" t="s">
        <v>55</v>
      </c>
      <c r="E19" s="1" t="s">
        <v>36</v>
      </c>
      <c r="F19" s="11" t="s">
        <v>96</v>
      </c>
      <c r="G19" s="5">
        <v>3900000</v>
      </c>
      <c r="H19" s="5" t="s">
        <v>90</v>
      </c>
      <c r="I19" s="5">
        <v>3900000</v>
      </c>
      <c r="J19" s="10"/>
      <c r="K19" s="5">
        <v>3900000</v>
      </c>
      <c r="L19" s="5">
        <v>0</v>
      </c>
      <c r="M19" s="7"/>
    </row>
    <row r="20" spans="2:13" ht="18" customHeight="1" x14ac:dyDescent="0.15">
      <c r="B20" s="21">
        <v>2025</v>
      </c>
      <c r="C20" s="1" t="s">
        <v>56</v>
      </c>
      <c r="D20" s="1" t="s">
        <v>57</v>
      </c>
      <c r="E20" s="1" t="s">
        <v>36</v>
      </c>
      <c r="F20" s="11" t="s">
        <v>97</v>
      </c>
      <c r="G20" s="5">
        <v>185000000</v>
      </c>
      <c r="H20" s="5" t="s">
        <v>90</v>
      </c>
      <c r="I20" s="5">
        <v>37000000</v>
      </c>
      <c r="J20" s="10"/>
      <c r="K20" s="5">
        <v>37000000</v>
      </c>
      <c r="L20" s="5">
        <v>0</v>
      </c>
      <c r="M20" s="7"/>
    </row>
    <row r="21" spans="2:13" ht="18" customHeight="1" x14ac:dyDescent="0.15">
      <c r="B21" s="19">
        <v>2025</v>
      </c>
      <c r="C21" s="1" t="s">
        <v>56</v>
      </c>
      <c r="D21" s="1" t="s">
        <v>57</v>
      </c>
      <c r="E21" s="1" t="s">
        <v>36</v>
      </c>
      <c r="F21" s="11" t="s">
        <v>97</v>
      </c>
      <c r="G21" s="5">
        <v>185000000</v>
      </c>
      <c r="H21" s="5" t="s">
        <v>91</v>
      </c>
      <c r="I21" s="5">
        <v>55500000</v>
      </c>
      <c r="J21" s="10"/>
      <c r="K21" s="5"/>
      <c r="L21" s="5"/>
      <c r="M21" s="7"/>
    </row>
    <row r="22" spans="2:13" ht="18" customHeight="1" x14ac:dyDescent="0.15">
      <c r="B22" s="19">
        <v>2025</v>
      </c>
      <c r="C22" s="1" t="s">
        <v>56</v>
      </c>
      <c r="D22" s="1" t="s">
        <v>57</v>
      </c>
      <c r="E22" s="1" t="s">
        <v>36</v>
      </c>
      <c r="F22" s="11" t="s">
        <v>97</v>
      </c>
      <c r="G22" s="5">
        <v>185000000</v>
      </c>
      <c r="H22" s="5" t="s">
        <v>94</v>
      </c>
      <c r="I22" s="5">
        <v>55500000</v>
      </c>
      <c r="J22" s="10"/>
      <c r="K22" s="5"/>
      <c r="L22" s="5"/>
      <c r="M22" s="7"/>
    </row>
    <row r="23" spans="2:13" ht="18" customHeight="1" x14ac:dyDescent="0.15">
      <c r="B23" s="20">
        <v>2025</v>
      </c>
      <c r="C23" s="1" t="s">
        <v>56</v>
      </c>
      <c r="D23" s="1" t="s">
        <v>57</v>
      </c>
      <c r="E23" s="1" t="s">
        <v>36</v>
      </c>
      <c r="F23" s="11" t="s">
        <v>97</v>
      </c>
      <c r="G23" s="5">
        <v>185000000</v>
      </c>
      <c r="H23" s="5" t="s">
        <v>92</v>
      </c>
      <c r="I23" s="5">
        <v>37000000</v>
      </c>
      <c r="J23" s="10"/>
      <c r="K23" s="5">
        <v>37000000</v>
      </c>
      <c r="L23" s="5">
        <v>0</v>
      </c>
      <c r="M23" s="7"/>
    </row>
    <row r="24" spans="2:13" ht="18" customHeight="1" x14ac:dyDescent="0.15">
      <c r="B24" s="21">
        <v>2025</v>
      </c>
      <c r="C24" s="1" t="s">
        <v>58</v>
      </c>
      <c r="D24" s="1" t="s">
        <v>19</v>
      </c>
      <c r="E24" s="1" t="s">
        <v>36</v>
      </c>
      <c r="F24" s="11" t="s">
        <v>98</v>
      </c>
      <c r="G24" s="5">
        <v>220000000</v>
      </c>
      <c r="H24" s="5" t="s">
        <v>90</v>
      </c>
      <c r="I24" s="5">
        <v>44000000</v>
      </c>
      <c r="J24" s="10"/>
      <c r="K24" s="5">
        <v>44000000</v>
      </c>
      <c r="L24" s="5">
        <v>0</v>
      </c>
      <c r="M24" s="7"/>
    </row>
    <row r="25" spans="2:13" ht="18" customHeight="1" x14ac:dyDescent="0.15">
      <c r="B25" s="19">
        <v>2025</v>
      </c>
      <c r="C25" s="1" t="s">
        <v>58</v>
      </c>
      <c r="D25" s="1" t="s">
        <v>19</v>
      </c>
      <c r="E25" s="1" t="s">
        <v>36</v>
      </c>
      <c r="F25" s="11" t="s">
        <v>98</v>
      </c>
      <c r="G25" s="5">
        <v>220000000</v>
      </c>
      <c r="H25" s="5" t="s">
        <v>91</v>
      </c>
      <c r="I25" s="5">
        <v>88750000</v>
      </c>
      <c r="J25" s="10"/>
      <c r="K25" s="5">
        <v>88750000</v>
      </c>
      <c r="L25" s="5">
        <v>0</v>
      </c>
      <c r="M25" s="7"/>
    </row>
    <row r="26" spans="2:13" s="8" customFormat="1" ht="18" customHeight="1" x14ac:dyDescent="0.15">
      <c r="B26" s="20">
        <v>2025</v>
      </c>
      <c r="C26" s="23" t="s">
        <v>58</v>
      </c>
      <c r="D26" s="23" t="s">
        <v>19</v>
      </c>
      <c r="E26" s="23" t="s">
        <v>36</v>
      </c>
      <c r="F26" s="24" t="s">
        <v>98</v>
      </c>
      <c r="G26" s="25">
        <v>220000000</v>
      </c>
      <c r="H26" s="25" t="s">
        <v>92</v>
      </c>
      <c r="I26" s="25">
        <v>750000</v>
      </c>
      <c r="J26" s="26"/>
      <c r="K26" s="25">
        <v>750000</v>
      </c>
      <c r="L26" s="25">
        <v>0</v>
      </c>
      <c r="M26" s="27"/>
    </row>
    <row r="27" spans="2:13" ht="18" customHeight="1" x14ac:dyDescent="0.15">
      <c r="B27" s="21">
        <v>2025</v>
      </c>
      <c r="C27" s="1" t="s">
        <v>59</v>
      </c>
      <c r="D27" s="1" t="s">
        <v>4</v>
      </c>
      <c r="E27" s="1" t="s">
        <v>36</v>
      </c>
      <c r="F27" s="11" t="s">
        <v>99</v>
      </c>
      <c r="G27" s="5">
        <v>190000000</v>
      </c>
      <c r="H27" s="5" t="s">
        <v>90</v>
      </c>
      <c r="I27" s="5">
        <v>38000000</v>
      </c>
      <c r="J27" s="10"/>
      <c r="K27" s="5">
        <v>38000000</v>
      </c>
      <c r="L27" s="5">
        <v>0</v>
      </c>
      <c r="M27" s="7"/>
    </row>
    <row r="28" spans="2:13" ht="18" customHeight="1" x14ac:dyDescent="0.15">
      <c r="B28" s="19">
        <v>2025</v>
      </c>
      <c r="C28" s="1" t="s">
        <v>59</v>
      </c>
      <c r="D28" s="1" t="s">
        <v>4</v>
      </c>
      <c r="E28" s="1" t="s">
        <v>36</v>
      </c>
      <c r="F28" s="11" t="s">
        <v>99</v>
      </c>
      <c r="G28" s="5">
        <v>190000000</v>
      </c>
      <c r="H28" s="5" t="s">
        <v>91</v>
      </c>
      <c r="I28" s="5">
        <v>114000000</v>
      </c>
      <c r="J28" s="10"/>
      <c r="K28" s="5">
        <v>114000000</v>
      </c>
      <c r="L28" s="5">
        <v>0</v>
      </c>
      <c r="M28" s="7"/>
    </row>
    <row r="29" spans="2:13" ht="18" customHeight="1" x14ac:dyDescent="0.15">
      <c r="B29" s="20">
        <v>2025</v>
      </c>
      <c r="C29" s="1" t="s">
        <v>59</v>
      </c>
      <c r="D29" s="1" t="s">
        <v>4</v>
      </c>
      <c r="E29" s="1" t="s">
        <v>36</v>
      </c>
      <c r="F29" s="11" t="s">
        <v>99</v>
      </c>
      <c r="G29" s="5">
        <v>190000000</v>
      </c>
      <c r="H29" s="5" t="s">
        <v>92</v>
      </c>
      <c r="I29" s="5">
        <v>38000000</v>
      </c>
      <c r="J29" s="10">
        <v>46169</v>
      </c>
      <c r="K29" s="5"/>
      <c r="L29" s="5">
        <v>38000000</v>
      </c>
      <c r="M29" s="7"/>
    </row>
    <row r="30" spans="2:13" ht="18" customHeight="1" x14ac:dyDescent="0.15">
      <c r="B30" s="21">
        <v>2025</v>
      </c>
      <c r="C30" s="1" t="s">
        <v>60</v>
      </c>
      <c r="D30" s="1" t="s">
        <v>6</v>
      </c>
      <c r="E30" s="1" t="s">
        <v>36</v>
      </c>
      <c r="F30" s="11" t="s">
        <v>7</v>
      </c>
      <c r="G30" s="5">
        <v>460000000</v>
      </c>
      <c r="H30" s="5" t="s">
        <v>90</v>
      </c>
      <c r="I30" s="9">
        <v>138000000</v>
      </c>
      <c r="J30" s="16"/>
      <c r="K30" s="5">
        <v>138000000</v>
      </c>
      <c r="L30" s="5">
        <v>0</v>
      </c>
      <c r="M30" s="4"/>
    </row>
    <row r="31" spans="2:13" ht="18" customHeight="1" x14ac:dyDescent="0.15">
      <c r="B31" s="19">
        <v>2025</v>
      </c>
      <c r="C31" s="1" t="s">
        <v>60</v>
      </c>
      <c r="D31" s="1" t="s">
        <v>6</v>
      </c>
      <c r="E31" s="1" t="s">
        <v>36</v>
      </c>
      <c r="F31" s="11" t="s">
        <v>7</v>
      </c>
      <c r="G31" s="5">
        <v>460000000</v>
      </c>
      <c r="H31" s="5" t="s">
        <v>91</v>
      </c>
      <c r="I31" s="5">
        <v>65400000</v>
      </c>
      <c r="J31" s="1"/>
      <c r="K31" s="5"/>
      <c r="L31" s="5"/>
      <c r="M31" s="4"/>
    </row>
    <row r="32" spans="2:13" ht="18" customHeight="1" x14ac:dyDescent="0.15">
      <c r="B32" s="19">
        <v>2025</v>
      </c>
      <c r="C32" s="1" t="s">
        <v>60</v>
      </c>
      <c r="D32" s="1" t="s">
        <v>6</v>
      </c>
      <c r="E32" s="1" t="s">
        <v>36</v>
      </c>
      <c r="F32" s="11" t="s">
        <v>7</v>
      </c>
      <c r="G32" s="5">
        <v>460000000</v>
      </c>
      <c r="H32" s="5" t="s">
        <v>94</v>
      </c>
      <c r="I32" s="5">
        <v>118200000</v>
      </c>
      <c r="J32" s="1"/>
      <c r="K32" s="5">
        <v>52800000</v>
      </c>
      <c r="L32" s="5">
        <v>0</v>
      </c>
      <c r="M32" s="4"/>
    </row>
    <row r="33" spans="2:13" ht="18" customHeight="1" x14ac:dyDescent="0.15">
      <c r="B33" s="20">
        <v>2025</v>
      </c>
      <c r="C33" s="1" t="s">
        <v>60</v>
      </c>
      <c r="D33" s="1" t="s">
        <v>6</v>
      </c>
      <c r="E33" s="1" t="s">
        <v>36</v>
      </c>
      <c r="F33" s="11" t="s">
        <v>7</v>
      </c>
      <c r="G33" s="5">
        <v>460000000</v>
      </c>
      <c r="H33" s="5" t="s">
        <v>92</v>
      </c>
      <c r="I33" s="5">
        <v>46000000</v>
      </c>
      <c r="J33" s="1"/>
      <c r="K33" s="5"/>
      <c r="L33" s="5">
        <v>46000000</v>
      </c>
      <c r="M33" s="4"/>
    </row>
    <row r="34" spans="2:13" ht="18" customHeight="1" x14ac:dyDescent="0.15">
      <c r="B34" s="22">
        <v>2025</v>
      </c>
      <c r="C34" s="1" t="s">
        <v>61</v>
      </c>
      <c r="D34" s="1" t="s">
        <v>10</v>
      </c>
      <c r="E34" s="1" t="s">
        <v>36</v>
      </c>
      <c r="F34" s="11" t="s">
        <v>0</v>
      </c>
      <c r="G34" s="5">
        <v>8900000</v>
      </c>
      <c r="H34" s="5" t="s">
        <v>90</v>
      </c>
      <c r="I34" s="5">
        <v>8900000</v>
      </c>
      <c r="J34" s="16"/>
      <c r="K34" s="5">
        <v>8900000</v>
      </c>
      <c r="L34" s="5">
        <v>0</v>
      </c>
      <c r="M34" s="4"/>
    </row>
    <row r="35" spans="2:13" ht="18" customHeight="1" x14ac:dyDescent="0.15">
      <c r="B35" s="22">
        <v>2026</v>
      </c>
      <c r="C35" s="1" t="s">
        <v>62</v>
      </c>
      <c r="D35" s="1" t="s">
        <v>10</v>
      </c>
      <c r="E35" s="1" t="s">
        <v>36</v>
      </c>
      <c r="F35" s="11" t="s">
        <v>0</v>
      </c>
      <c r="G35" s="5">
        <v>1200000</v>
      </c>
      <c r="H35" s="5" t="s">
        <v>90</v>
      </c>
      <c r="I35" s="5">
        <v>1200000</v>
      </c>
      <c r="J35" s="1"/>
      <c r="K35" s="5">
        <v>1200000</v>
      </c>
      <c r="L35" s="5">
        <v>0</v>
      </c>
      <c r="M35" s="4"/>
    </row>
    <row r="36" spans="2:13" ht="18" customHeight="1" x14ac:dyDescent="0.15">
      <c r="B36" s="22">
        <v>2026</v>
      </c>
      <c r="C36" s="4" t="s">
        <v>63</v>
      </c>
      <c r="D36" s="1" t="s">
        <v>10</v>
      </c>
      <c r="E36" s="1" t="s">
        <v>36</v>
      </c>
      <c r="F36" s="11" t="s">
        <v>0</v>
      </c>
      <c r="G36" s="5">
        <v>5120000</v>
      </c>
      <c r="H36" s="4" t="s">
        <v>90</v>
      </c>
      <c r="I36" s="5">
        <v>5120000</v>
      </c>
      <c r="J36" s="1"/>
      <c r="K36" s="5">
        <v>5120000</v>
      </c>
      <c r="L36" s="5">
        <v>0</v>
      </c>
      <c r="M36" s="4"/>
    </row>
    <row r="37" spans="2:13" ht="18" customHeight="1" x14ac:dyDescent="0.15">
      <c r="B37" s="22">
        <v>2026</v>
      </c>
      <c r="C37" s="4" t="s">
        <v>64</v>
      </c>
      <c r="D37" s="1" t="s">
        <v>10</v>
      </c>
      <c r="E37" s="1" t="s">
        <v>36</v>
      </c>
      <c r="F37" s="11" t="s">
        <v>0</v>
      </c>
      <c r="G37" s="5">
        <v>275000</v>
      </c>
      <c r="H37" s="4" t="s">
        <v>90</v>
      </c>
      <c r="I37" s="5">
        <v>275000</v>
      </c>
      <c r="J37" s="1"/>
      <c r="K37" s="5">
        <v>275000</v>
      </c>
      <c r="L37" s="5">
        <v>0</v>
      </c>
      <c r="M37" s="4"/>
    </row>
    <row r="38" spans="2:13" ht="18" customHeight="1" x14ac:dyDescent="0.15">
      <c r="B38" s="22">
        <v>2026</v>
      </c>
      <c r="C38" s="4" t="s">
        <v>65</v>
      </c>
      <c r="D38" s="1" t="s">
        <v>10</v>
      </c>
      <c r="E38" s="1" t="s">
        <v>36</v>
      </c>
      <c r="F38" s="11" t="s">
        <v>0</v>
      </c>
      <c r="G38" s="5">
        <v>310000</v>
      </c>
      <c r="H38" s="4" t="s">
        <v>90</v>
      </c>
      <c r="I38" s="5">
        <v>310000</v>
      </c>
      <c r="J38" s="1"/>
      <c r="K38" s="5">
        <v>310000</v>
      </c>
      <c r="L38" s="5">
        <v>0</v>
      </c>
      <c r="M38" s="4"/>
    </row>
    <row r="39" spans="2:13" ht="18" customHeight="1" x14ac:dyDescent="0.15">
      <c r="B39" s="21">
        <v>2026</v>
      </c>
      <c r="C39" s="4" t="s">
        <v>66</v>
      </c>
      <c r="D39" s="1" t="s">
        <v>8</v>
      </c>
      <c r="E39" s="1" t="s">
        <v>36</v>
      </c>
      <c r="F39" s="11" t="s">
        <v>9</v>
      </c>
      <c r="G39" s="5">
        <v>562300000</v>
      </c>
      <c r="H39" s="4" t="s">
        <v>90</v>
      </c>
      <c r="I39" s="5">
        <v>112460000</v>
      </c>
      <c r="J39" s="1"/>
      <c r="K39" s="5">
        <v>112460000</v>
      </c>
      <c r="L39" s="5">
        <v>0</v>
      </c>
      <c r="M39" s="4"/>
    </row>
    <row r="40" spans="2:13" ht="18" customHeight="1" x14ac:dyDescent="0.15">
      <c r="B40" s="19">
        <v>2026</v>
      </c>
      <c r="C40" s="4" t="s">
        <v>66</v>
      </c>
      <c r="D40" s="1" t="s">
        <v>8</v>
      </c>
      <c r="E40" s="1" t="s">
        <v>36</v>
      </c>
      <c r="F40" s="11" t="s">
        <v>9</v>
      </c>
      <c r="G40" s="5">
        <v>562300000</v>
      </c>
      <c r="H40" s="4" t="s">
        <v>91</v>
      </c>
      <c r="I40" s="5">
        <v>289080000</v>
      </c>
      <c r="J40" s="1"/>
      <c r="K40" s="5">
        <v>289080000</v>
      </c>
      <c r="L40" s="5">
        <v>0</v>
      </c>
      <c r="M40" s="4"/>
    </row>
    <row r="41" spans="2:13" ht="18" customHeight="1" x14ac:dyDescent="0.15">
      <c r="B41" s="20">
        <v>2026</v>
      </c>
      <c r="C41" s="4" t="s">
        <v>66</v>
      </c>
      <c r="D41" s="1" t="s">
        <v>8</v>
      </c>
      <c r="E41" s="1" t="s">
        <v>36</v>
      </c>
      <c r="F41" s="11" t="s">
        <v>9</v>
      </c>
      <c r="G41" s="5">
        <v>562300000</v>
      </c>
      <c r="H41" s="4" t="s">
        <v>92</v>
      </c>
      <c r="I41" s="5">
        <v>112460000</v>
      </c>
      <c r="J41" s="15"/>
      <c r="K41" s="5"/>
      <c r="L41" s="5">
        <v>112460000</v>
      </c>
      <c r="M41" s="4"/>
    </row>
    <row r="42" spans="2:13" ht="18" customHeight="1" x14ac:dyDescent="0.15">
      <c r="B42" s="20">
        <v>2026</v>
      </c>
      <c r="C42" s="4" t="s">
        <v>67</v>
      </c>
      <c r="D42" s="1" t="s">
        <v>10</v>
      </c>
      <c r="E42" s="1" t="s">
        <v>36</v>
      </c>
      <c r="F42" s="11" t="s">
        <v>0</v>
      </c>
      <c r="G42" s="5">
        <v>13950000</v>
      </c>
      <c r="H42" s="4" t="s">
        <v>90</v>
      </c>
      <c r="I42" s="5">
        <v>13950000</v>
      </c>
      <c r="J42" s="15"/>
      <c r="K42" s="5"/>
      <c r="L42" s="5">
        <v>13950000</v>
      </c>
      <c r="M42" s="4"/>
    </row>
    <row r="43" spans="2:13" ht="18" customHeight="1" x14ac:dyDescent="0.15">
      <c r="B43" s="20">
        <v>2026</v>
      </c>
      <c r="C43" s="4" t="s">
        <v>68</v>
      </c>
      <c r="D43" s="1" t="s">
        <v>10</v>
      </c>
      <c r="E43" s="1" t="s">
        <v>36</v>
      </c>
      <c r="F43" s="11" t="s">
        <v>0</v>
      </c>
      <c r="G43" s="5">
        <v>825000</v>
      </c>
      <c r="H43" s="4" t="s">
        <v>90</v>
      </c>
      <c r="I43" s="5">
        <v>825000</v>
      </c>
      <c r="J43" s="15"/>
      <c r="K43" s="5">
        <v>825000</v>
      </c>
      <c r="L43" s="5">
        <v>0</v>
      </c>
      <c r="M43" s="4"/>
    </row>
    <row r="44" spans="2:13" ht="18" customHeight="1" x14ac:dyDescent="0.15">
      <c r="B44" s="20">
        <v>2026</v>
      </c>
      <c r="C44" s="4" t="s">
        <v>69</v>
      </c>
      <c r="D44" s="1" t="s">
        <v>70</v>
      </c>
      <c r="E44" s="1" t="s">
        <v>36</v>
      </c>
      <c r="F44" s="11" t="s">
        <v>100</v>
      </c>
      <c r="G44" s="5">
        <v>750000</v>
      </c>
      <c r="H44" s="4" t="s">
        <v>90</v>
      </c>
      <c r="I44" s="5">
        <v>750000</v>
      </c>
      <c r="J44" s="15"/>
      <c r="K44" s="5">
        <v>750000</v>
      </c>
      <c r="L44" s="5">
        <v>0</v>
      </c>
      <c r="M44" s="4"/>
    </row>
    <row r="45" spans="2:13" ht="18" customHeight="1" x14ac:dyDescent="0.15">
      <c r="B45" s="20">
        <v>2026</v>
      </c>
      <c r="C45" s="4" t="s">
        <v>71</v>
      </c>
      <c r="D45" s="1" t="s">
        <v>72</v>
      </c>
      <c r="E45" s="1" t="s">
        <v>36</v>
      </c>
      <c r="F45" s="11" t="s">
        <v>101</v>
      </c>
      <c r="G45" s="5">
        <v>1467840</v>
      </c>
      <c r="H45" s="4" t="s">
        <v>90</v>
      </c>
      <c r="I45" s="5">
        <v>1467840</v>
      </c>
      <c r="J45" s="15"/>
      <c r="K45" s="5">
        <v>1467840</v>
      </c>
      <c r="L45" s="5">
        <v>0</v>
      </c>
      <c r="M45" s="4"/>
    </row>
    <row r="46" spans="2:13" ht="18" customHeight="1" x14ac:dyDescent="0.15">
      <c r="B46" s="20">
        <v>2026</v>
      </c>
      <c r="C46" s="4" t="s">
        <v>73</v>
      </c>
      <c r="D46" s="1" t="s">
        <v>11</v>
      </c>
      <c r="E46" s="1" t="s">
        <v>36</v>
      </c>
      <c r="F46" s="11" t="s">
        <v>12</v>
      </c>
      <c r="G46" s="5">
        <v>8000000</v>
      </c>
      <c r="H46" s="4" t="s">
        <v>90</v>
      </c>
      <c r="I46" s="5">
        <v>8000000</v>
      </c>
      <c r="J46" s="15"/>
      <c r="K46" s="5"/>
      <c r="L46" s="5">
        <v>8000000</v>
      </c>
      <c r="M46" s="4"/>
    </row>
    <row r="47" spans="2:13" ht="18" customHeight="1" x14ac:dyDescent="0.15">
      <c r="B47" s="20">
        <v>2026</v>
      </c>
      <c r="C47" s="4" t="s">
        <v>74</v>
      </c>
      <c r="D47" s="1" t="s">
        <v>10</v>
      </c>
      <c r="E47" s="1" t="s">
        <v>36</v>
      </c>
      <c r="F47" s="11" t="s">
        <v>0</v>
      </c>
      <c r="G47" s="5">
        <v>14615000</v>
      </c>
      <c r="H47" s="4" t="s">
        <v>90</v>
      </c>
      <c r="I47" s="5">
        <v>14615000</v>
      </c>
      <c r="J47" s="15"/>
      <c r="K47" s="5"/>
      <c r="L47" s="5">
        <v>14615000</v>
      </c>
      <c r="M47" s="4"/>
    </row>
    <row r="48" spans="2:13" ht="18" customHeight="1" x14ac:dyDescent="0.15">
      <c r="B48" s="20">
        <v>2026</v>
      </c>
      <c r="C48" s="4" t="s">
        <v>75</v>
      </c>
      <c r="D48" s="1" t="s">
        <v>6</v>
      </c>
      <c r="E48" s="1" t="s">
        <v>36</v>
      </c>
      <c r="F48" s="11" t="s">
        <v>13</v>
      </c>
      <c r="G48" s="5">
        <v>140000000</v>
      </c>
      <c r="H48" s="4" t="s">
        <v>90</v>
      </c>
      <c r="I48" s="5">
        <v>28000000</v>
      </c>
      <c r="J48" s="15"/>
      <c r="K48" s="5"/>
      <c r="L48" s="5">
        <v>28000000</v>
      </c>
      <c r="M48" s="4"/>
    </row>
    <row r="49" spans="2:13" ht="18" customHeight="1" x14ac:dyDescent="0.15">
      <c r="B49" s="20">
        <v>2026</v>
      </c>
      <c r="C49" s="4" t="s">
        <v>75</v>
      </c>
      <c r="D49" s="1" t="s">
        <v>6</v>
      </c>
      <c r="E49" s="1" t="s">
        <v>36</v>
      </c>
      <c r="F49" s="11" t="s">
        <v>13</v>
      </c>
      <c r="G49" s="5">
        <v>140000000</v>
      </c>
      <c r="H49" s="4" t="s">
        <v>91</v>
      </c>
      <c r="I49" s="5">
        <v>84000000</v>
      </c>
      <c r="J49" s="15"/>
      <c r="K49" s="5"/>
      <c r="L49" s="5">
        <v>84000000</v>
      </c>
      <c r="M49" s="4"/>
    </row>
    <row r="50" spans="2:13" ht="18" customHeight="1" x14ac:dyDescent="0.15">
      <c r="B50" s="20">
        <v>2026</v>
      </c>
      <c r="C50" s="4" t="s">
        <v>75</v>
      </c>
      <c r="D50" s="1" t="s">
        <v>6</v>
      </c>
      <c r="E50" s="1" t="s">
        <v>36</v>
      </c>
      <c r="F50" s="11" t="s">
        <v>13</v>
      </c>
      <c r="G50" s="5">
        <v>140000000</v>
      </c>
      <c r="H50" s="4" t="s">
        <v>92</v>
      </c>
      <c r="I50" s="5">
        <v>28000000</v>
      </c>
      <c r="J50" s="15"/>
      <c r="K50" s="5"/>
      <c r="L50" s="5">
        <v>28000000</v>
      </c>
      <c r="M50" s="4"/>
    </row>
    <row r="51" spans="2:13" ht="18" customHeight="1" x14ac:dyDescent="0.15">
      <c r="B51" s="20">
        <v>2026</v>
      </c>
      <c r="C51" s="4" t="s">
        <v>76</v>
      </c>
      <c r="D51" s="1" t="s">
        <v>14</v>
      </c>
      <c r="E51" s="1" t="s">
        <v>36</v>
      </c>
      <c r="F51" s="11" t="s">
        <v>15</v>
      </c>
      <c r="G51" s="5">
        <v>120000000</v>
      </c>
      <c r="H51" s="4" t="s">
        <v>90</v>
      </c>
      <c r="I51" s="5">
        <v>24000000</v>
      </c>
      <c r="J51" s="15"/>
      <c r="K51" s="5">
        <v>24000000</v>
      </c>
      <c r="L51" s="5">
        <v>0</v>
      </c>
      <c r="M51" s="4"/>
    </row>
    <row r="52" spans="2:13" ht="18" customHeight="1" x14ac:dyDescent="0.15">
      <c r="B52" s="20">
        <v>2026</v>
      </c>
      <c r="C52" s="4" t="s">
        <v>76</v>
      </c>
      <c r="D52" s="1" t="s">
        <v>14</v>
      </c>
      <c r="E52" s="1" t="s">
        <v>36</v>
      </c>
      <c r="F52" s="11" t="s">
        <v>15</v>
      </c>
      <c r="G52" s="5">
        <v>120000000</v>
      </c>
      <c r="H52" s="4" t="s">
        <v>91</v>
      </c>
      <c r="I52" s="5">
        <v>70100000</v>
      </c>
      <c r="J52" s="15"/>
      <c r="K52" s="5"/>
      <c r="L52" s="5">
        <v>70100000</v>
      </c>
      <c r="M52" s="4"/>
    </row>
    <row r="53" spans="2:13" ht="18" customHeight="1" x14ac:dyDescent="0.15">
      <c r="B53" s="20">
        <v>2026</v>
      </c>
      <c r="C53" s="4" t="s">
        <v>76</v>
      </c>
      <c r="D53" s="1" t="s">
        <v>14</v>
      </c>
      <c r="E53" s="1" t="s">
        <v>36</v>
      </c>
      <c r="F53" s="11" t="s">
        <v>15</v>
      </c>
      <c r="G53" s="5">
        <v>120000000</v>
      </c>
      <c r="H53" s="4" t="s">
        <v>92</v>
      </c>
      <c r="I53" s="5">
        <v>24000000</v>
      </c>
      <c r="J53" s="15"/>
      <c r="K53" s="5"/>
      <c r="L53" s="5">
        <v>24000000</v>
      </c>
      <c r="M53" s="4"/>
    </row>
    <row r="54" spans="2:13" ht="18" customHeight="1" x14ac:dyDescent="0.15">
      <c r="B54" s="20">
        <v>2026</v>
      </c>
      <c r="C54" s="4" t="s">
        <v>77</v>
      </c>
      <c r="D54" s="1" t="s">
        <v>16</v>
      </c>
      <c r="E54" s="1" t="s">
        <v>36</v>
      </c>
      <c r="F54" s="11" t="s">
        <v>102</v>
      </c>
      <c r="G54" s="5">
        <v>31000000</v>
      </c>
      <c r="H54" s="4" t="s">
        <v>90</v>
      </c>
      <c r="I54" s="5">
        <v>6200000</v>
      </c>
      <c r="J54" s="15"/>
      <c r="K54" s="5">
        <v>6200000</v>
      </c>
      <c r="L54" s="5">
        <v>0</v>
      </c>
      <c r="M54" s="4"/>
    </row>
    <row r="55" spans="2:13" ht="18" customHeight="1" x14ac:dyDescent="0.15">
      <c r="B55" s="20">
        <v>2026</v>
      </c>
      <c r="C55" s="4" t="s">
        <v>77</v>
      </c>
      <c r="D55" s="1" t="s">
        <v>16</v>
      </c>
      <c r="E55" s="1" t="s">
        <v>36</v>
      </c>
      <c r="F55" s="11" t="s">
        <v>102</v>
      </c>
      <c r="G55" s="5">
        <v>31000000</v>
      </c>
      <c r="H55" s="4" t="s">
        <v>91</v>
      </c>
      <c r="I55" s="5">
        <v>18600000</v>
      </c>
      <c r="J55" s="15" t="s">
        <v>116</v>
      </c>
      <c r="K55" s="5"/>
      <c r="L55" s="5">
        <v>18600000</v>
      </c>
      <c r="M55" s="4"/>
    </row>
    <row r="56" spans="2:13" ht="18" customHeight="1" x14ac:dyDescent="0.15">
      <c r="B56" s="20">
        <v>2026</v>
      </c>
      <c r="C56" s="4" t="s">
        <v>77</v>
      </c>
      <c r="D56" s="1" t="s">
        <v>16</v>
      </c>
      <c r="E56" s="1" t="s">
        <v>36</v>
      </c>
      <c r="F56" s="11" t="s">
        <v>102</v>
      </c>
      <c r="G56" s="5">
        <v>31000000</v>
      </c>
      <c r="H56" s="4" t="s">
        <v>92</v>
      </c>
      <c r="I56" s="5">
        <v>6200000</v>
      </c>
      <c r="J56" s="15"/>
      <c r="K56" s="5"/>
      <c r="L56" s="5">
        <v>6200000</v>
      </c>
      <c r="M56" s="4"/>
    </row>
    <row r="57" spans="2:13" ht="18" customHeight="1" x14ac:dyDescent="0.15">
      <c r="B57" s="20">
        <v>2026</v>
      </c>
      <c r="C57" s="4" t="s">
        <v>17</v>
      </c>
      <c r="D57" s="1" t="s">
        <v>18</v>
      </c>
      <c r="E57" s="1" t="s">
        <v>36</v>
      </c>
      <c r="F57" s="11" t="s">
        <v>103</v>
      </c>
      <c r="G57" s="5">
        <v>11000000</v>
      </c>
      <c r="H57" s="4" t="s">
        <v>90</v>
      </c>
      <c r="I57" s="5">
        <v>11000000</v>
      </c>
      <c r="J57" s="15"/>
      <c r="K57" s="5"/>
      <c r="L57" s="5">
        <v>11000000</v>
      </c>
      <c r="M57" s="4"/>
    </row>
    <row r="58" spans="2:13" ht="18" customHeight="1" x14ac:dyDescent="0.15">
      <c r="B58" s="20">
        <v>2026</v>
      </c>
      <c r="C58" s="4" t="s">
        <v>78</v>
      </c>
      <c r="D58" s="1" t="s">
        <v>10</v>
      </c>
      <c r="E58" s="1" t="s">
        <v>36</v>
      </c>
      <c r="F58" s="11" t="s">
        <v>104</v>
      </c>
      <c r="G58" s="5">
        <v>2953500</v>
      </c>
      <c r="H58" s="4" t="s">
        <v>90</v>
      </c>
      <c r="I58" s="5">
        <v>2953500</v>
      </c>
      <c r="J58" s="15"/>
      <c r="K58" s="5"/>
      <c r="L58" s="5">
        <v>2953500</v>
      </c>
      <c r="M58" s="4"/>
    </row>
    <row r="59" spans="2:13" ht="18" customHeight="1" x14ac:dyDescent="0.15">
      <c r="B59" s="20">
        <v>2026</v>
      </c>
      <c r="C59" s="4" t="s">
        <v>79</v>
      </c>
      <c r="D59" s="1" t="s">
        <v>80</v>
      </c>
      <c r="E59" s="1" t="s">
        <v>26</v>
      </c>
      <c r="F59" s="11" t="s">
        <v>105</v>
      </c>
      <c r="G59" s="5">
        <v>1305000000</v>
      </c>
      <c r="H59" s="4" t="s">
        <v>90</v>
      </c>
      <c r="I59" s="5">
        <v>391500000</v>
      </c>
      <c r="J59" s="15"/>
      <c r="K59" s="5">
        <v>391500000</v>
      </c>
      <c r="L59" s="5">
        <v>0</v>
      </c>
      <c r="M59" s="4"/>
    </row>
    <row r="60" spans="2:13" ht="18" customHeight="1" x14ac:dyDescent="0.15">
      <c r="B60" s="20">
        <v>2026</v>
      </c>
      <c r="C60" s="4" t="s">
        <v>79</v>
      </c>
      <c r="D60" s="1" t="s">
        <v>80</v>
      </c>
      <c r="E60" s="1" t="s">
        <v>26</v>
      </c>
      <c r="F60" s="11" t="s">
        <v>105</v>
      </c>
      <c r="G60" s="5">
        <v>1305000000</v>
      </c>
      <c r="H60" s="4" t="s">
        <v>91</v>
      </c>
      <c r="I60" s="5">
        <v>652500000</v>
      </c>
      <c r="J60" s="15"/>
      <c r="K60" s="5">
        <v>652500000</v>
      </c>
      <c r="L60" s="5">
        <v>0</v>
      </c>
      <c r="M60" s="4"/>
    </row>
    <row r="61" spans="2:13" ht="18" customHeight="1" x14ac:dyDescent="0.15">
      <c r="B61" s="20">
        <v>2026</v>
      </c>
      <c r="C61" s="4" t="s">
        <v>79</v>
      </c>
      <c r="D61" s="1" t="s">
        <v>80</v>
      </c>
      <c r="E61" s="1" t="s">
        <v>26</v>
      </c>
      <c r="F61" s="11" t="s">
        <v>105</v>
      </c>
      <c r="G61" s="5">
        <v>1305000000</v>
      </c>
      <c r="H61" s="4" t="s">
        <v>92</v>
      </c>
      <c r="I61" s="5">
        <v>261000000</v>
      </c>
      <c r="J61" s="15"/>
      <c r="K61" s="5"/>
      <c r="L61" s="5">
        <v>261000000</v>
      </c>
      <c r="M61" s="4"/>
    </row>
    <row r="62" spans="2:13" ht="18" customHeight="1" x14ac:dyDescent="0.15">
      <c r="B62" s="20">
        <v>2026</v>
      </c>
      <c r="C62" s="4" t="s">
        <v>81</v>
      </c>
      <c r="D62" s="1" t="s">
        <v>81</v>
      </c>
      <c r="E62" s="1" t="s">
        <v>26</v>
      </c>
      <c r="F62" s="11" t="s">
        <v>106</v>
      </c>
      <c r="G62" s="28">
        <v>570000000</v>
      </c>
      <c r="H62" s="29" t="s">
        <v>81</v>
      </c>
      <c r="I62" s="5">
        <v>171000000</v>
      </c>
      <c r="J62" s="15"/>
      <c r="K62" s="5"/>
      <c r="L62" s="5"/>
      <c r="M62" s="4"/>
    </row>
    <row r="63" spans="2:13" ht="18" customHeight="1" x14ac:dyDescent="0.15">
      <c r="B63" s="20">
        <v>2026</v>
      </c>
      <c r="C63" s="4" t="s">
        <v>81</v>
      </c>
      <c r="D63" s="1" t="s">
        <v>81</v>
      </c>
      <c r="E63" s="1" t="s">
        <v>26</v>
      </c>
      <c r="F63" s="11" t="s">
        <v>106</v>
      </c>
      <c r="G63" s="28">
        <v>570000000</v>
      </c>
      <c r="H63" s="29" t="s">
        <v>81</v>
      </c>
      <c r="I63" s="5">
        <v>285000000</v>
      </c>
      <c r="J63" s="15"/>
      <c r="K63" s="5"/>
      <c r="L63" s="5"/>
      <c r="M63" s="4"/>
    </row>
    <row r="64" spans="2:13" ht="18" customHeight="1" x14ac:dyDescent="0.15">
      <c r="B64" s="20">
        <v>2026</v>
      </c>
      <c r="C64" s="4" t="s">
        <v>81</v>
      </c>
      <c r="D64" s="1" t="s">
        <v>81</v>
      </c>
      <c r="E64" s="1" t="s">
        <v>26</v>
      </c>
      <c r="F64" s="11" t="s">
        <v>106</v>
      </c>
      <c r="G64" s="28">
        <v>570000000</v>
      </c>
      <c r="H64" s="29" t="s">
        <v>81</v>
      </c>
      <c r="I64" s="5">
        <v>114000000</v>
      </c>
      <c r="J64" s="15"/>
      <c r="K64" s="5"/>
      <c r="L64" s="5"/>
      <c r="M64" s="4"/>
    </row>
    <row r="65" spans="2:13" ht="18" customHeight="1" x14ac:dyDescent="0.15">
      <c r="B65" s="20">
        <v>2026</v>
      </c>
      <c r="C65" s="4" t="s">
        <v>82</v>
      </c>
      <c r="D65" s="1" t="s">
        <v>83</v>
      </c>
      <c r="E65" s="1" t="s">
        <v>37</v>
      </c>
      <c r="F65" s="11" t="s">
        <v>107</v>
      </c>
      <c r="G65" s="5">
        <v>34000000</v>
      </c>
      <c r="H65" s="4" t="s">
        <v>90</v>
      </c>
      <c r="I65" s="5">
        <v>10200000</v>
      </c>
      <c r="J65" s="15"/>
      <c r="K65" s="5">
        <v>10200000</v>
      </c>
      <c r="L65" s="5">
        <v>0</v>
      </c>
      <c r="M65" s="4"/>
    </row>
    <row r="66" spans="2:13" ht="18" customHeight="1" x14ac:dyDescent="0.15">
      <c r="B66" s="20">
        <v>2026</v>
      </c>
      <c r="C66" s="4" t="s">
        <v>82</v>
      </c>
      <c r="D66" s="1" t="s">
        <v>83</v>
      </c>
      <c r="E66" s="1" t="s">
        <v>37</v>
      </c>
      <c r="F66" s="11" t="s">
        <v>107</v>
      </c>
      <c r="G66" s="5">
        <v>34000000</v>
      </c>
      <c r="H66" s="4" t="s">
        <v>91</v>
      </c>
      <c r="I66" s="5">
        <v>13600000</v>
      </c>
      <c r="J66" s="15">
        <v>46234</v>
      </c>
      <c r="K66" s="5"/>
      <c r="L66" s="5">
        <v>13600000</v>
      </c>
      <c r="M66" s="4"/>
    </row>
    <row r="67" spans="2:13" ht="18" customHeight="1" x14ac:dyDescent="0.15">
      <c r="B67" s="20">
        <v>2026</v>
      </c>
      <c r="C67" s="4" t="s">
        <v>82</v>
      </c>
      <c r="D67" s="1" t="s">
        <v>83</v>
      </c>
      <c r="E67" s="1" t="s">
        <v>37</v>
      </c>
      <c r="F67" s="11" t="s">
        <v>107</v>
      </c>
      <c r="G67" s="5">
        <v>34000000</v>
      </c>
      <c r="H67" s="4" t="s">
        <v>92</v>
      </c>
      <c r="I67" s="5">
        <v>10200000</v>
      </c>
      <c r="J67" s="15"/>
      <c r="K67" s="5"/>
      <c r="L67" s="5">
        <v>10200000</v>
      </c>
      <c r="M67" s="4"/>
    </row>
    <row r="68" spans="2:13" ht="18" customHeight="1" x14ac:dyDescent="0.15">
      <c r="B68" s="20">
        <v>2026</v>
      </c>
      <c r="C68" s="4"/>
      <c r="D68" s="1"/>
      <c r="E68" s="1" t="s">
        <v>38</v>
      </c>
      <c r="F68" s="11" t="s">
        <v>108</v>
      </c>
      <c r="G68" s="5">
        <v>30000000</v>
      </c>
      <c r="H68" s="4" t="s">
        <v>90</v>
      </c>
      <c r="I68" s="5">
        <v>11000000</v>
      </c>
      <c r="J68" s="15"/>
      <c r="K68" s="5">
        <v>11000000</v>
      </c>
      <c r="L68" s="5">
        <v>0</v>
      </c>
      <c r="M68" s="4"/>
    </row>
    <row r="69" spans="2:13" ht="18" customHeight="1" x14ac:dyDescent="0.15">
      <c r="B69" s="20">
        <v>2026</v>
      </c>
      <c r="C69" s="4"/>
      <c r="D69" s="1"/>
      <c r="E69" s="1" t="s">
        <v>38</v>
      </c>
      <c r="F69" s="11" t="s">
        <v>108</v>
      </c>
      <c r="G69" s="5">
        <v>30000000</v>
      </c>
      <c r="H69" s="4" t="s">
        <v>92</v>
      </c>
      <c r="I69" s="5">
        <v>19000000</v>
      </c>
      <c r="J69" s="15"/>
      <c r="K69" s="5"/>
      <c r="L69" s="5">
        <v>19000000</v>
      </c>
      <c r="M69" s="4"/>
    </row>
    <row r="70" spans="2:13" ht="18" customHeight="1" x14ac:dyDescent="0.15">
      <c r="B70" s="20">
        <v>2026</v>
      </c>
      <c r="C70" s="4" t="s">
        <v>84</v>
      </c>
      <c r="D70" s="1" t="s">
        <v>84</v>
      </c>
      <c r="E70" s="1" t="s">
        <v>39</v>
      </c>
      <c r="F70" s="11" t="s">
        <v>109</v>
      </c>
      <c r="G70" s="5">
        <v>12500000</v>
      </c>
      <c r="H70" s="4" t="s">
        <v>90</v>
      </c>
      <c r="I70" s="5">
        <v>6250000</v>
      </c>
      <c r="J70" s="15"/>
      <c r="K70" s="5">
        <v>6250000</v>
      </c>
      <c r="L70" s="5">
        <v>0</v>
      </c>
      <c r="M70" s="4"/>
    </row>
    <row r="71" spans="2:13" ht="18" customHeight="1" x14ac:dyDescent="0.15">
      <c r="B71" s="20">
        <v>2026</v>
      </c>
      <c r="C71" s="4" t="s">
        <v>84</v>
      </c>
      <c r="D71" s="1" t="s">
        <v>84</v>
      </c>
      <c r="E71" s="1" t="s">
        <v>39</v>
      </c>
      <c r="F71" s="11" t="s">
        <v>109</v>
      </c>
      <c r="G71" s="5">
        <v>12500000</v>
      </c>
      <c r="H71" s="4" t="s">
        <v>92</v>
      </c>
      <c r="I71" s="5">
        <v>6250000</v>
      </c>
      <c r="J71" s="15"/>
      <c r="K71" s="5"/>
      <c r="L71" s="5">
        <v>6250000</v>
      </c>
      <c r="M71" s="4"/>
    </row>
    <row r="72" spans="2:13" ht="18" customHeight="1" x14ac:dyDescent="0.15">
      <c r="B72" s="20">
        <v>2026</v>
      </c>
      <c r="C72" s="4"/>
      <c r="D72" s="1"/>
      <c r="E72" s="1" t="s">
        <v>40</v>
      </c>
      <c r="F72" s="11" t="s">
        <v>110</v>
      </c>
      <c r="G72" s="5">
        <v>21000000</v>
      </c>
      <c r="H72" s="4" t="s">
        <v>90</v>
      </c>
      <c r="I72" s="5">
        <v>10500000</v>
      </c>
      <c r="J72" s="15"/>
      <c r="K72" s="5">
        <v>10500000</v>
      </c>
      <c r="L72" s="5">
        <v>0</v>
      </c>
      <c r="M72" s="4"/>
    </row>
    <row r="73" spans="2:13" ht="18" customHeight="1" x14ac:dyDescent="0.15">
      <c r="B73" s="20">
        <v>2026</v>
      </c>
      <c r="C73" s="4"/>
      <c r="D73" s="1"/>
      <c r="E73" s="1" t="s">
        <v>40</v>
      </c>
      <c r="F73" s="11" t="s">
        <v>110</v>
      </c>
      <c r="G73" s="5">
        <v>21000000</v>
      </c>
      <c r="H73" s="4" t="s">
        <v>92</v>
      </c>
      <c r="I73" s="5">
        <v>10500000</v>
      </c>
      <c r="J73" s="15"/>
      <c r="K73" s="5">
        <v>10500000</v>
      </c>
      <c r="L73" s="5">
        <v>0</v>
      </c>
      <c r="M73" s="4"/>
    </row>
    <row r="74" spans="2:13" ht="18" customHeight="1" x14ac:dyDescent="0.15">
      <c r="B74" s="20">
        <v>2026</v>
      </c>
      <c r="C74" s="4" t="s">
        <v>85</v>
      </c>
      <c r="D74" s="1" t="s">
        <v>85</v>
      </c>
      <c r="E74" s="1" t="s">
        <v>41</v>
      </c>
      <c r="F74" s="11" t="s">
        <v>111</v>
      </c>
      <c r="G74" s="5">
        <v>7000000</v>
      </c>
      <c r="H74" s="4" t="s">
        <v>90</v>
      </c>
      <c r="I74" s="5">
        <v>7000000</v>
      </c>
      <c r="J74" s="15">
        <v>46228</v>
      </c>
      <c r="K74" s="5"/>
      <c r="L74" s="5">
        <v>7000000</v>
      </c>
      <c r="M74" s="4"/>
    </row>
    <row r="75" spans="2:13" ht="18" customHeight="1" x14ac:dyDescent="0.15">
      <c r="B75" s="20">
        <v>2026</v>
      </c>
      <c r="C75" s="4"/>
      <c r="D75" s="1"/>
      <c r="E75" s="1" t="s">
        <v>42</v>
      </c>
      <c r="F75" s="11" t="s">
        <v>112</v>
      </c>
      <c r="G75" s="5">
        <v>750000</v>
      </c>
      <c r="H75" s="4" t="s">
        <v>90</v>
      </c>
      <c r="I75" s="5">
        <v>750000</v>
      </c>
      <c r="J75" s="15"/>
      <c r="K75" s="5">
        <v>750000</v>
      </c>
      <c r="L75" s="5">
        <v>0</v>
      </c>
      <c r="M75" s="4"/>
    </row>
    <row r="76" spans="2:13" ht="18" customHeight="1" x14ac:dyDescent="0.15">
      <c r="B76" s="20">
        <v>2026</v>
      </c>
      <c r="C76" s="4"/>
      <c r="D76" s="1"/>
      <c r="E76" s="1" t="s">
        <v>43</v>
      </c>
      <c r="F76" s="11" t="s">
        <v>113</v>
      </c>
      <c r="G76" s="5">
        <v>675000</v>
      </c>
      <c r="H76" s="4" t="s">
        <v>90</v>
      </c>
      <c r="I76" s="5">
        <v>675000</v>
      </c>
      <c r="J76" s="15"/>
      <c r="K76" s="5">
        <v>675000</v>
      </c>
      <c r="L76" s="5">
        <v>0</v>
      </c>
      <c r="M76" s="4"/>
    </row>
    <row r="77" spans="2:13" ht="18" customHeight="1" x14ac:dyDescent="0.15">
      <c r="B77" s="20">
        <v>2026</v>
      </c>
      <c r="C77" s="4" t="s">
        <v>86</v>
      </c>
      <c r="D77" s="1"/>
      <c r="E77" s="1" t="s">
        <v>44</v>
      </c>
      <c r="F77" s="11" t="s">
        <v>114</v>
      </c>
      <c r="G77" s="5">
        <v>86000000</v>
      </c>
      <c r="H77" s="4" t="s">
        <v>90</v>
      </c>
      <c r="I77" s="5">
        <v>25800000</v>
      </c>
      <c r="J77" s="15"/>
      <c r="K77" s="5">
        <v>25800000</v>
      </c>
      <c r="L77" s="5">
        <v>0</v>
      </c>
      <c r="M77" s="4"/>
    </row>
    <row r="78" spans="2:13" ht="18" customHeight="1" x14ac:dyDescent="0.15">
      <c r="B78" s="20">
        <v>2026</v>
      </c>
      <c r="C78" s="4" t="s">
        <v>86</v>
      </c>
      <c r="D78" s="1"/>
      <c r="E78" s="1" t="s">
        <v>44</v>
      </c>
      <c r="F78" s="11" t="s">
        <v>114</v>
      </c>
      <c r="G78" s="5">
        <v>86000000</v>
      </c>
      <c r="H78" s="4" t="s">
        <v>91</v>
      </c>
      <c r="I78" s="5">
        <v>25800000</v>
      </c>
      <c r="J78" s="15"/>
      <c r="K78" s="5">
        <v>25800000</v>
      </c>
      <c r="L78" s="5">
        <v>0</v>
      </c>
      <c r="M78" s="4"/>
    </row>
    <row r="79" spans="2:13" ht="18" customHeight="1" x14ac:dyDescent="0.15">
      <c r="B79" s="20">
        <v>2026</v>
      </c>
      <c r="C79" s="4" t="s">
        <v>86</v>
      </c>
      <c r="D79" s="1"/>
      <c r="E79" s="1" t="s">
        <v>44</v>
      </c>
      <c r="F79" s="11" t="s">
        <v>114</v>
      </c>
      <c r="G79" s="5">
        <v>86000000</v>
      </c>
      <c r="H79" s="4" t="s">
        <v>92</v>
      </c>
      <c r="I79" s="5">
        <v>34400000</v>
      </c>
      <c r="J79" s="15"/>
      <c r="K79" s="5">
        <v>34400000</v>
      </c>
      <c r="L79" s="5">
        <v>0</v>
      </c>
      <c r="M79" s="4"/>
    </row>
    <row r="80" spans="2:13" ht="18" customHeight="1" x14ac:dyDescent="0.15">
      <c r="B80" s="20">
        <v>2026</v>
      </c>
      <c r="C80" s="4" t="s">
        <v>87</v>
      </c>
      <c r="D80" s="1"/>
      <c r="E80" s="1" t="s">
        <v>45</v>
      </c>
      <c r="F80" s="11" t="s">
        <v>112</v>
      </c>
      <c r="G80" s="5">
        <v>744000</v>
      </c>
      <c r="H80" s="4" t="s">
        <v>90</v>
      </c>
      <c r="I80" s="5">
        <v>744000</v>
      </c>
      <c r="J80" s="15"/>
      <c r="K80" s="5">
        <v>744000</v>
      </c>
      <c r="L80" s="5">
        <v>0</v>
      </c>
      <c r="M80" s="4"/>
    </row>
    <row r="81" spans="2:13" ht="18" customHeight="1" x14ac:dyDescent="0.15">
      <c r="B81" s="20">
        <v>2026</v>
      </c>
      <c r="C81" s="4" t="s">
        <v>88</v>
      </c>
      <c r="D81" s="1"/>
      <c r="E81" s="1" t="s">
        <v>46</v>
      </c>
      <c r="F81" s="11" t="s">
        <v>115</v>
      </c>
      <c r="G81" s="5">
        <v>2000000</v>
      </c>
      <c r="H81" s="4" t="s">
        <v>90</v>
      </c>
      <c r="I81" s="5">
        <v>2000000</v>
      </c>
      <c r="J81" s="15">
        <v>46203</v>
      </c>
      <c r="K81" s="5"/>
      <c r="L81" s="5">
        <v>2000000</v>
      </c>
      <c r="M81" s="4"/>
    </row>
  </sheetData>
  <autoFilter ref="B4:M4" xr:uid="{E5E74621-F728-4BCC-902D-64723F3F7956}"/>
  <mergeCells count="1">
    <mergeCell ref="B1:F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Changmin Lee</dc:creator>
  <cp:lastModifiedBy>이엔지 텔스타</cp:lastModifiedBy>
  <dcterms:created xsi:type="dcterms:W3CDTF">2015-06-05T18:19:34Z</dcterms:created>
  <dcterms:modified xsi:type="dcterms:W3CDTF">2026-07-30T02:14:40Z</dcterms:modified>
</cp:coreProperties>
</file>