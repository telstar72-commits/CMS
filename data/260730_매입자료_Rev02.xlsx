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텔스타이엔지\Desktop\500.이창민대표님\관리 대시보드\엑셀데이터 (1)\"/>
    </mc:Choice>
  </mc:AlternateContent>
  <xr:revisionPtr revIDLastSave="0" documentId="13_ncr:1_{DAA97993-BEED-43A4-8851-7E1081FDA1BC}" xr6:coauthVersionLast="47" xr6:coauthVersionMax="47" xr10:uidLastSave="{00000000-0000-0000-0000-000000000000}"/>
  <bookViews>
    <workbookView xWindow="-120" yWindow="-120" windowWidth="29040" windowHeight="15720" firstSheet="1" activeTab="1" xr2:uid="{6E9EFD5F-775E-4362-8702-596B55BF3164}"/>
  </bookViews>
  <sheets>
    <sheet name="Summary (2)" sheetId="7" state="hidden" r:id="rId1"/>
    <sheet name="매입자료" sheetId="10" r:id="rId2"/>
    <sheet name="7.15일 결제예정 업체" sheetId="12" state="hidden" r:id="rId3"/>
  </sheets>
  <definedNames>
    <definedName name="_xlnm._FilterDatabase" localSheetId="2" hidden="1">'7.15일 결제예정 업체'!$A$1:$F$26</definedName>
  </definedNames>
  <calcPr calcId="191029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0" l="1"/>
  <c r="E26" i="10"/>
  <c r="F26" i="10"/>
  <c r="G26" i="10"/>
  <c r="C26" i="10"/>
  <c r="D21" i="12" l="1"/>
  <c r="F21" i="12"/>
  <c r="E21" i="12"/>
  <c r="C23" i="12"/>
  <c r="C26" i="12" s="1"/>
  <c r="C29" i="12" l="1"/>
  <c r="E29" i="12" s="1"/>
  <c r="E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씨엠인싸이트(주)</author>
  </authors>
  <commentList>
    <comment ref="E18" authorId="0" shapeId="0" xr:uid="{E8FA52D9-6532-4533-BDC2-3CF754EF7CB1}">
      <text>
        <r>
          <rPr>
            <sz val="10"/>
            <color indexed="81"/>
            <rFont val="돋움"/>
            <family val="3"/>
            <charset val="129"/>
          </rPr>
          <t>6/30 계산서 수취완료</t>
        </r>
      </text>
    </comment>
    <comment ref="E19" authorId="0" shapeId="0" xr:uid="{693EB83D-7E21-4B27-9B3E-A927284326B0}">
      <text>
        <r>
          <rPr>
            <sz val="10"/>
            <color indexed="81"/>
            <rFont val="돋움"/>
            <family val="3"/>
            <charset val="129"/>
          </rPr>
          <t>6/30 계산서 수취완료</t>
        </r>
      </text>
    </comment>
    <comment ref="D20" authorId="0" shapeId="0" xr:uid="{43C47D9C-0072-4F41-97B5-8F70A3D4E43F}">
      <text>
        <r>
          <rPr>
            <sz val="10"/>
            <color indexed="81"/>
            <rFont val="돋움"/>
            <family val="3"/>
            <charset val="129"/>
          </rPr>
          <t>6/30 계산서 수취완료</t>
        </r>
      </text>
    </comment>
  </commentList>
</comments>
</file>

<file path=xl/sharedStrings.xml><?xml version="1.0" encoding="utf-8"?>
<sst xmlns="http://schemas.openxmlformats.org/spreadsheetml/2006/main" count="126" uniqueCount="79">
  <si>
    <t>상호</t>
  </si>
  <si>
    <t>주식회사 영광하이텍</t>
  </si>
  <si>
    <t>(주)다드림산업</t>
  </si>
  <si>
    <t>(주)혜성기업</t>
  </si>
  <si>
    <t>(주)경일레이져</t>
  </si>
  <si>
    <t>주식회사 세일이엔지</t>
  </si>
  <si>
    <t>주식회사 제이에스솔루션</t>
  </si>
  <si>
    <t>동도테크(주)</t>
  </si>
  <si>
    <t>동도이앤엠</t>
  </si>
  <si>
    <t>(주) 베이직종합</t>
  </si>
  <si>
    <t>대성베크라이트</t>
  </si>
  <si>
    <t>정남종합열처리</t>
  </si>
  <si>
    <t>이엔에스</t>
  </si>
  <si>
    <t>26-03</t>
  </si>
  <si>
    <t>26-04</t>
  </si>
  <si>
    <t>총합계</t>
  </si>
  <si>
    <t>합계 : 합계금액</t>
  </si>
  <si>
    <t>윤 정공</t>
  </si>
  <si>
    <t>동선씨엔피시스템</t>
  </si>
  <si>
    <t>에스씨 엔지니어링</t>
  </si>
  <si>
    <t>피앤티특허법률사무소</t>
    <phoneticPr fontId="1" type="noConversion"/>
  </si>
  <si>
    <t>이엔에스</t>
    <phoneticPr fontId="1" type="noConversion"/>
  </si>
  <si>
    <t>에스씨엔지니어링</t>
    <phoneticPr fontId="1" type="noConversion"/>
  </si>
  <si>
    <t>작업환경측정료</t>
    <phoneticPr fontId="1" type="noConversion"/>
  </si>
  <si>
    <t>(비어 있음)</t>
  </si>
  <si>
    <t>26-05</t>
  </si>
  <si>
    <t>에스.지 코리아(S.G 코리아)</t>
  </si>
  <si>
    <t>행 레이블</t>
  </si>
  <si>
    <t>열 레이블</t>
  </si>
  <si>
    <t>주식회사 유니콘</t>
  </si>
  <si>
    <t>26-06</t>
  </si>
  <si>
    <t>(모두)</t>
  </si>
  <si>
    <t>발행일</t>
  </si>
  <si>
    <t>공급자</t>
  </si>
  <si>
    <t>▣ 시스템알앤디 북미 파워 모듈 중도금 지급 List</t>
    <phoneticPr fontId="6" type="noConversion"/>
  </si>
  <si>
    <t>구분</t>
    <phoneticPr fontId="6" type="noConversion"/>
  </si>
  <si>
    <t>업체명</t>
    <phoneticPr fontId="6" type="noConversion"/>
  </si>
  <si>
    <t>설비명</t>
    <phoneticPr fontId="6" type="noConversion"/>
  </si>
  <si>
    <t>계약금</t>
    <phoneticPr fontId="6" type="noConversion"/>
  </si>
  <si>
    <t>중도금</t>
    <phoneticPr fontId="6" type="noConversion"/>
  </si>
  <si>
    <t>잔금</t>
    <phoneticPr fontId="6" type="noConversion"/>
  </si>
  <si>
    <t>** 7/15일 결제시 입금후 세금계산서 발행요청 완료 하였습니다.</t>
    <phoneticPr fontId="6" type="noConversion"/>
  </si>
  <si>
    <t>UPTA</t>
    <phoneticPr fontId="6" type="noConversion"/>
  </si>
  <si>
    <t>수작업대</t>
    <phoneticPr fontId="6" type="noConversion"/>
  </si>
  <si>
    <t>오토솔루션
(소형열)</t>
    <phoneticPr fontId="6" type="noConversion"/>
  </si>
  <si>
    <t>도포기</t>
    <phoneticPr fontId="6" type="noConversion"/>
  </si>
  <si>
    <t>Amsystem
(정성교)</t>
    <phoneticPr fontId="6" type="noConversion"/>
  </si>
  <si>
    <t>리드에스앤티
(안종찬)</t>
    <phoneticPr fontId="6" type="noConversion"/>
  </si>
  <si>
    <t>자동화</t>
    <phoneticPr fontId="6" type="noConversion"/>
  </si>
  <si>
    <t>체결기</t>
    <phoneticPr fontId="6" type="noConversion"/>
  </si>
  <si>
    <t>CMT
(김정호)</t>
    <phoneticPr fontId="6" type="noConversion"/>
  </si>
  <si>
    <t>지구자동화
(임호동)</t>
    <phoneticPr fontId="6" type="noConversion"/>
  </si>
  <si>
    <t>#70 버스바 
공급 체결기</t>
    <phoneticPr fontId="6" type="noConversion"/>
  </si>
  <si>
    <t>H&amp;T
(유기원)</t>
    <phoneticPr fontId="6" type="noConversion"/>
  </si>
  <si>
    <t>용접기</t>
    <phoneticPr fontId="6" type="noConversion"/>
  </si>
  <si>
    <t>N&amp;P SYSTEM
(최기준)</t>
    <phoneticPr fontId="6" type="noConversion"/>
  </si>
  <si>
    <t>세미앤솔</t>
    <phoneticPr fontId="6" type="noConversion"/>
  </si>
  <si>
    <t>반전기</t>
    <phoneticPr fontId="6" type="noConversion"/>
  </si>
  <si>
    <t>서화엔지니어링
(조상인)</t>
    <phoneticPr fontId="6" type="noConversion"/>
  </si>
  <si>
    <t>검사&amp;비젼</t>
    <phoneticPr fontId="6" type="noConversion"/>
  </si>
  <si>
    <t>주식회사 엔지티</t>
    <phoneticPr fontId="6" type="noConversion"/>
  </si>
  <si>
    <t>㈜정원에스비</t>
    <phoneticPr fontId="6" type="noConversion"/>
  </si>
  <si>
    <t>#60 제품 반전
(로봇타입)</t>
    <phoneticPr fontId="6" type="noConversion"/>
  </si>
  <si>
    <t>HPCU+파워모듈라인</t>
    <phoneticPr fontId="6" type="noConversion"/>
  </si>
  <si>
    <t>체결기 UNIT 추가</t>
    <phoneticPr fontId="6" type="noConversion"/>
  </si>
  <si>
    <t>지성테크</t>
    <phoneticPr fontId="6" type="noConversion"/>
  </si>
  <si>
    <t>현장 대응 인건비</t>
    <phoneticPr fontId="6" type="noConversion"/>
  </si>
  <si>
    <t>시스템알앤디</t>
    <phoneticPr fontId="6" type="noConversion"/>
  </si>
  <si>
    <t>할인이율</t>
    <phoneticPr fontId="6" type="noConversion"/>
  </si>
  <si>
    <t>할인이자제외</t>
    <phoneticPr fontId="6" type="noConversion"/>
  </si>
  <si>
    <t>약 6,500,000</t>
    <phoneticPr fontId="6" type="noConversion"/>
  </si>
  <si>
    <t>매입업체</t>
    <phoneticPr fontId="6" type="noConversion"/>
  </si>
  <si>
    <t>총금액</t>
    <phoneticPr fontId="6" type="noConversion"/>
  </si>
  <si>
    <t>매출-매입 차액</t>
    <phoneticPr fontId="6" type="noConversion"/>
  </si>
  <si>
    <t>초록음영은 6월 계산서 발행 업체입니다</t>
    <phoneticPr fontId="1" type="noConversion"/>
  </si>
  <si>
    <t>(매입자료에 이미 추가됨)</t>
    <phoneticPr fontId="1" type="noConversion"/>
  </si>
  <si>
    <t>완료</t>
    <phoneticPr fontId="1" type="noConversion"/>
  </si>
  <si>
    <t>통화완료</t>
    <phoneticPr fontId="1" type="noConversion"/>
  </si>
  <si>
    <t>윈테크 박원희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</si>
</sst>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##,##0"/>
    <numFmt numFmtId="178" formatCode="\(0%\)"/>
  </numFmts>
  <fonts count="15">
    <font>
      <sz val="10"/>
      <name val="Arial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10"/>
      <color indexed="81"/>
      <name val="돋움"/>
      <family val="3"/>
      <charset val="129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auto="1"/>
      </left>
      <right/>
      <top style="thick">
        <color theme="4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theme="4" tint="-0.499984740745262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/>
    <xf numFmtId="41" fontId="0" fillId="2" borderId="1" xfId="0" applyNumberFormat="1" applyFill="1" applyBorder="1"/>
    <xf numFmtId="0" fontId="0" fillId="0" borderId="0" xfId="0" pivotButton="1"/>
    <xf numFmtId="0" fontId="5" fillId="0" borderId="2" xfId="1" applyFont="1" applyBorder="1" applyAlignment="1">
      <alignment horizontal="left" vertical="center"/>
    </xf>
    <xf numFmtId="0" fontId="4" fillId="0" borderId="2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5" borderId="4" xfId="1" applyFill="1" applyBorder="1" applyAlignment="1">
      <alignment horizontal="center" vertical="center"/>
    </xf>
    <xf numFmtId="178" fontId="0" fillId="5" borderId="8" xfId="2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4" fillId="0" borderId="9" xfId="1" applyBorder="1" applyAlignment="1">
      <alignment horizontal="center" vertical="center"/>
    </xf>
    <xf numFmtId="41" fontId="4" fillId="0" borderId="9" xfId="1" applyNumberFormat="1" applyBorder="1" applyAlignment="1">
      <alignment horizontal="center" vertical="center"/>
    </xf>
    <xf numFmtId="41" fontId="4" fillId="3" borderId="9" xfId="1" applyNumberFormat="1" applyFill="1" applyBorder="1" applyAlignment="1">
      <alignment horizontal="center" vertical="center"/>
    </xf>
    <xf numFmtId="0" fontId="4" fillId="2" borderId="9" xfId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41" fontId="9" fillId="0" borderId="9" xfId="1" applyNumberFormat="1" applyFont="1" applyBorder="1" applyAlignment="1">
      <alignment horizontal="center" vertical="center"/>
    </xf>
    <xf numFmtId="41" fontId="9" fillId="6" borderId="9" xfId="1" applyNumberFormat="1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41" fontId="10" fillId="3" borderId="9" xfId="1" applyNumberFormat="1" applyFont="1" applyFill="1" applyBorder="1" applyAlignment="1">
      <alignment horizontal="center" vertical="center"/>
    </xf>
    <xf numFmtId="41" fontId="10" fillId="0" borderId="9" xfId="1" applyNumberFormat="1" applyFont="1" applyBorder="1" applyAlignment="1">
      <alignment horizontal="center" vertical="center"/>
    </xf>
    <xf numFmtId="0" fontId="4" fillId="0" borderId="9" xfId="1" applyBorder="1" applyAlignment="1">
      <alignment horizontal="center" vertical="center" wrapText="1"/>
    </xf>
    <xf numFmtId="41" fontId="4" fillId="6" borderId="9" xfId="1" applyNumberFormat="1" applyFill="1" applyBorder="1" applyAlignment="1">
      <alignment horizontal="center" vertical="center"/>
    </xf>
    <xf numFmtId="0" fontId="4" fillId="2" borderId="0" xfId="1" applyFill="1" applyAlignment="1">
      <alignment horizontal="center" vertical="center"/>
    </xf>
    <xf numFmtId="0" fontId="4" fillId="0" borderId="0" xfId="1" applyAlignment="1">
      <alignment vertical="center"/>
    </xf>
    <xf numFmtId="41" fontId="4" fillId="0" borderId="0" xfId="1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0" fontId="4" fillId="0" borderId="0" xfId="1" applyNumberFormat="1" applyAlignment="1">
      <alignment horizontal="right" vertical="center"/>
    </xf>
    <xf numFmtId="41" fontId="0" fillId="0" borderId="0" xfId="3" applyFont="1" applyAlignment="1">
      <alignment horizontal="right" vertical="center"/>
    </xf>
    <xf numFmtId="0" fontId="4" fillId="0" borderId="11" xfId="1" applyBorder="1" applyAlignment="1">
      <alignment horizontal="center" vertical="center"/>
    </xf>
    <xf numFmtId="41" fontId="4" fillId="7" borderId="11" xfId="1" applyNumberFormat="1" applyFill="1" applyBorder="1" applyAlignment="1">
      <alignment vertical="center"/>
    </xf>
    <xf numFmtId="41" fontId="11" fillId="0" borderId="0" xfId="1" applyNumberFormat="1" applyFont="1" applyAlignment="1">
      <alignment vertical="center"/>
    </xf>
    <xf numFmtId="41" fontId="12" fillId="4" borderId="11" xfId="1" applyNumberFormat="1" applyFont="1" applyFill="1" applyBorder="1" applyAlignment="1">
      <alignment horizontal="center" vertical="center"/>
    </xf>
    <xf numFmtId="0" fontId="4" fillId="0" borderId="0" xfId="1" applyAlignment="1">
      <alignment horizontal="left" vertical="center"/>
    </xf>
    <xf numFmtId="41" fontId="4" fillId="0" borderId="0" xfId="4" applyFont="1" applyAlignment="1">
      <alignment horizontal="center" vertical="center"/>
    </xf>
    <xf numFmtId="0" fontId="2" fillId="0" borderId="0" xfId="0" applyFont="1"/>
    <xf numFmtId="0" fontId="4" fillId="5" borderId="4" xfId="1" applyFill="1" applyBorder="1" applyAlignment="1">
      <alignment horizontal="center" vertical="center"/>
    </xf>
    <xf numFmtId="0" fontId="4" fillId="5" borderId="7" xfId="1" applyFill="1" applyBorder="1" applyAlignment="1">
      <alignment horizontal="center" vertical="center"/>
    </xf>
    <xf numFmtId="0" fontId="4" fillId="5" borderId="5" xfId="1" applyFill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41" fontId="0" fillId="0" borderId="0" xfId="4" applyFont="1" applyAlignment="1"/>
  </cellXfs>
  <cellStyles count="5">
    <cellStyle name="백분율 2" xfId="2" xr:uid="{28B4032A-74F7-4CCD-B11C-1C39BEED11F2}"/>
    <cellStyle name="쉼표 [0]" xfId="4" builtinId="6"/>
    <cellStyle name="쉼표 [0] 2" xfId="3" xr:uid="{90D01A19-68A4-4061-88C5-2B19B1043579}"/>
    <cellStyle name="표준" xfId="0" builtinId="0"/>
    <cellStyle name="표준 2" xfId="1" xr:uid="{3AB43197-A2C8-4FEF-8126-D8F8AC01431D}"/>
  </cellStyles>
  <dxfs count="47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씨엠인싸이트(주)" refreshedDate="46233.473224652778" createdVersion="8" refreshedVersion="8" recordCount="230" xr:uid="{98E9995C-D234-4BCA-AD0C-9351DD90561A}">
  <cacheSource type="worksheet">
    <worksheetSource name="표1"/>
  </cacheSource>
  <cacheFields count="37">
    <cacheField name="작성일자" numFmtId="0">
      <sharedItems containsBlank="1"/>
    </cacheField>
    <cacheField name="승인번호" numFmtId="0">
      <sharedItems containsBlank="1"/>
    </cacheField>
    <cacheField name="발급일자" numFmtId="0">
      <sharedItems containsBlank="1"/>
    </cacheField>
    <cacheField name="전송일자" numFmtId="0">
      <sharedItems containsBlank="1"/>
    </cacheField>
    <cacheField name="공급자사업자등록번호" numFmtId="0">
      <sharedItems containsBlank="1"/>
    </cacheField>
    <cacheField name="종사업장번호" numFmtId="0">
      <sharedItems containsBlank="1"/>
    </cacheField>
    <cacheField name="공급자" numFmtId="0">
      <sharedItems containsBlank="1" count="128">
        <s v="(주) 베이직종합"/>
        <m/>
        <s v="(주)경일레이져"/>
        <s v="(주)다드림산업"/>
        <s v="(주)혜성기업"/>
        <s v="대성베크라이트"/>
        <s v="동도이앤엠"/>
        <s v="동도테크(주)"/>
        <s v="동선씨엔피시스템"/>
        <s v="에스.지 코리아(S.G 코리아)"/>
        <s v="에스씨 엔지니어링"/>
        <s v="윤 정공"/>
        <s v="이엔에스"/>
        <s v="정남종합열처리"/>
        <s v="주식회사 세일이엔지"/>
        <s v="주식회사 영광하이텍"/>
        <s v="주식회사 유니콘"/>
        <s v="주식회사 제이에스솔루션"/>
        <s v="명진엔지니어링" u="1"/>
        <s v="엠아이테크" u="1"/>
        <s v="영경SHAFT" u="1"/>
        <s v="(주)대진지에프지점" u="1"/>
        <s v="(주)한국미스미" u="1"/>
        <s v="삼익THK(주) 수원영업소" u="1"/>
        <s v="주식회사 월드유통" u="1"/>
        <s v="현곡밥집" u="1"/>
        <s v="제이테크" u="1"/>
        <s v="주식회사 세미앤솔" u="1"/>
        <s v="주식회사 씨엠티" u="1"/>
        <s v="주식회사 창공에프에이" u="1"/>
        <s v="지성테크" u="1"/>
        <s v="진위지게차" u="1"/>
        <s v="청북 알파문구" u="1"/>
        <s v="제이엠테크（J. M. tech)" u="1"/>
        <s v="유니온 테크" u="1"/>
        <s v="대영정밀" u="1"/>
        <s v="경기퀵물류 주식회사" u="1"/>
        <s v="서화엔지니어링" u="1"/>
        <s v="변호사김용수법률사무소" u="1"/>
        <s v="(주) 지안그룹" u="1"/>
        <s v="주식회사 부강산업개발" u="1"/>
        <s v="마당조경" u="1"/>
        <s v="동도이엔지(Dongdo ENG)" u="1"/>
        <s v="네이버클라우드 주식회사" u="1"/>
        <s v="웹케시(주)" u="1"/>
        <s v="비엠더블유파이낸셜서비스코리아(주)" u="1"/>
        <s v="세무법인 정상 논현지점" u="1"/>
        <s v="신도네트남부센타" u="1"/>
        <s v="청호나이스(주)" u="1"/>
        <s v="주식회사 케이티" u="1"/>
        <s v="(주) 프로라이팅" u="1"/>
        <s v="개별화물" u="1"/>
        <s v="주식회사 해리" u="1"/>
        <s v="주식회사 바오" u="1"/>
        <s v="주식회사 정원에스비" u="1"/>
        <s v="주식회사 엠엠티" u="1"/>
        <s v="주식회사 아로광학" u="1"/>
        <s v="에이엠시스템" u="1"/>
        <s v="주식회사 머신앤비전" u="1"/>
        <s v="주식회사 아이지티 (IGT)" u="1"/>
        <s v="JS TECH（제이 에스 테크）" u="1"/>
        <s v="진산이엔지(ENG)" u="1"/>
        <s v="동서모토체인(주)" u="1"/>
        <s v="(주)디에스콘화성지점" u="1"/>
        <s v="티에스엠" u="1"/>
        <s v="샘물유통" u="1"/>
        <s v="(주)한국일측" u="1"/>
        <s v="에이치케이랩 주식회사(HK Lab Inc.)" u="1"/>
        <s v="피앤티특허법률사무소" u="1"/>
        <s v="오토솔루션" u="1"/>
        <s v="기정엔지니어링" u="1"/>
        <s v="유한회사 바슬러 코리아" u="1"/>
        <s v="라온테크" u="1"/>
        <s v="주식회사 히트소프트" u="1"/>
        <s v="서진산업" u="1"/>
        <s v="평택명판" u="1"/>
        <s v="서로테크" u="1"/>
        <s v="(주)길전상사" u="1"/>
        <s v="원시스템（ONE  SYSTEM）" u="1"/>
        <s v="국제산업보건연구소" u="1"/>
        <s v="영진기술 주식회사" u="1"/>
        <s v="텔스타 이엔지(Telstar ENG)" u="1"/>
        <s v="한국디지탈콘트롤（주）" u="1"/>
        <s v="텔스타 주식회사" u="1"/>
        <s v="원테크" u="1"/>
        <s v="주식회사 쌍용호이스트" u="1"/>
        <s v="주식회사 디코" u="1"/>
        <s v="발안법무사구명모" u="1"/>
        <s v="세진건드릴" u="1"/>
        <s v="주식회사 리드에스앤티" u="1"/>
        <s v="주식회사 지구자동화" u="1"/>
        <s v="유피티에이" u="1"/>
        <s v="N&amp;P SYSTEM（엔엔피시스템）" u="1"/>
        <s v="주식회사 엔지티" u="1"/>
        <s v="중소기업은행" u="1"/>
        <s v="(주)나비엠알오" u="1"/>
        <s v="씨엠인싸이트 주식회사" u="1"/>
        <s v="(주)메일플러그" u="1"/>
        <s v="(주)한신체인" u="1"/>
        <s v="키엔스코리아(주)" u="1"/>
        <s v="광원전기(주)" u="1"/>
        <s v="메저시스템" u="1"/>
        <s v="대진ENG" u="1"/>
        <s v="아이씨에스(IC Solutions)" u="1"/>
        <s v="(주)도호코리아" u="1"/>
        <s v="주식회사 화성에너텍" u="1"/>
        <s v="에이치엔티（H&amp;T）" u="1"/>
        <s v="만남피복산업" u="1"/>
        <s v="(주)전진공구" u="1"/>
        <s v="대정슈퍼드릴" u="1"/>
        <s v="청북지게차" u="1"/>
        <s v="(주)삼원루브" u="1"/>
        <s v="지원테크（G-WON Tech）" u="1"/>
        <s v="성화ST" u="1"/>
        <s v="광현금속" u="1"/>
        <s v="영경샤프트정공" u="1"/>
        <s v="（주）성화에프엔씨" u="1"/>
        <s v="주식회사 성화에스티 화성" u="1"/>
        <s v="씨피시스템주식회사" u="1"/>
        <s v="제주 이프로 여행사" u="1"/>
        <s v="(주)고려바퀴종합상사" u="1"/>
        <s v="아이비코퍼레이션" u="1"/>
        <s v="인에이블테크" u="1"/>
        <s v="우양폴리텍" u="1"/>
        <s v="(주)신진에스엠 직영점" u="1"/>
        <s v="영원파이프" u="1"/>
        <s v="제이엠텍" u="1"/>
        <s v="롯데렌탈(주)" u="1"/>
      </sharedItems>
    </cacheField>
    <cacheField name="대표자명" numFmtId="0">
      <sharedItems containsBlank="1"/>
    </cacheField>
    <cacheField name="주소" numFmtId="0">
      <sharedItems containsBlank="1"/>
    </cacheField>
    <cacheField name="공급받는자사업자등록번호" numFmtId="0">
      <sharedItems containsBlank="1"/>
    </cacheField>
    <cacheField name="구분" numFmtId="0">
      <sharedItems containsBlank="1" count="7">
        <s v=""/>
        <m/>
        <s v="삼기ES"/>
        <s v="SNT"/>
        <s v="창원위아"/>
        <s v="SRD" u="1"/>
        <s v="텔스타" u="1"/>
      </sharedItems>
    </cacheField>
    <cacheField name="상호" numFmtId="0">
      <sharedItems containsBlank="1" count="18">
        <s v="CMI"/>
        <m/>
        <s v="ENG"/>
        <s v="동도이엔지(구 텔스타이엔지)" u="1"/>
        <s v="텔스타 이엔지" u="1"/>
        <s v="동도ENG" u="1"/>
        <s v="텔스타 이엔지(Telstar ENG)" u="1"/>
        <s v="동도이엔지(Telstar ENG)" u="1"/>
        <s v="동도이엔지" u="1"/>
        <s v="텔스타이엔지" u="1"/>
        <s v="동도이엔지(Dong ENG)" u="1"/>
        <s v="텔스타 이앤지" u="1"/>
        <s v="동도이엔지(Dongdo ENG)" u="1"/>
        <s v="텔스타이앤지" u="1"/>
        <s v="동도이엔지(Dongdo ENG" u="1"/>
        <s v="동도 이엔지" u="1"/>
        <s v="텔스타이엔지(Telstar ENG)" u="1"/>
        <s v="텔스타 이엔지(Telstar" u="1"/>
      </sharedItems>
    </cacheField>
    <cacheField name="대표자명3" numFmtId="0">
      <sharedItems containsBlank="1"/>
    </cacheField>
    <cacheField name="주소4" numFmtId="0">
      <sharedItems containsBlank="1"/>
    </cacheField>
    <cacheField name="합계금액" numFmtId="176">
      <sharedItems containsString="0" containsBlank="1" containsNumber="1" containsInteger="1" minValue="11000" maxValue="64350000"/>
    </cacheField>
    <cacheField name="공급가액" numFmtId="176">
      <sharedItems containsString="0" containsBlank="1" containsNumber="1" containsInteger="1" minValue="10000" maxValue="58500000"/>
    </cacheField>
    <cacheField name="세액" numFmtId="176">
      <sharedItems containsString="0" containsBlank="1" containsNumber="1" containsInteger="1" minValue="1000" maxValue="5850000"/>
    </cacheField>
    <cacheField name="전자세금계산서 분류" numFmtId="0">
      <sharedItems containsBlank="1"/>
    </cacheField>
    <cacheField name="전자세금계산서종류" numFmtId="0">
      <sharedItems containsBlank="1"/>
    </cacheField>
    <cacheField name="발급유형" numFmtId="0">
      <sharedItems containsBlank="1"/>
    </cacheField>
    <cacheField name="비고" numFmtId="0">
      <sharedItems containsBlank="1"/>
    </cacheField>
    <cacheField name="영수/청구 구분" numFmtId="0">
      <sharedItems containsBlank="1"/>
    </cacheField>
    <cacheField name="공급자 이메일" numFmtId="0">
      <sharedItems containsBlank="1"/>
    </cacheField>
    <cacheField name="공급받는자 이메일1" numFmtId="0">
      <sharedItems containsBlank="1"/>
    </cacheField>
    <cacheField name="공급받는자 이메일2" numFmtId="0">
      <sharedItems containsBlank="1"/>
    </cacheField>
    <cacheField name="수탁사업자등록번호" numFmtId="0">
      <sharedItems containsBlank="1"/>
    </cacheField>
    <cacheField name="상호5" numFmtId="0">
      <sharedItems containsBlank="1"/>
    </cacheField>
    <cacheField name="품목일자" numFmtId="0">
      <sharedItems containsBlank="1"/>
    </cacheField>
    <cacheField name="품목명" numFmtId="0">
      <sharedItems containsBlank="1"/>
    </cacheField>
    <cacheField name="품목규격" numFmtId="0">
      <sharedItems containsBlank="1"/>
    </cacheField>
    <cacheField name="품목수량" numFmtId="0">
      <sharedItems containsBlank="1"/>
    </cacheField>
    <cacheField name="품목단가" numFmtId="0">
      <sharedItems containsBlank="1"/>
    </cacheField>
    <cacheField name="품목공급가액" numFmtId="176">
      <sharedItems containsString="0" containsBlank="1" containsNumber="1" containsInteger="1" minValue="-193050000" maxValue="240000000"/>
    </cacheField>
    <cacheField name="품목세액" numFmtId="176">
      <sharedItems containsString="0" containsBlank="1" containsNumber="1" containsInteger="1" minValue="-19305000" maxValue="24000000"/>
    </cacheField>
    <cacheField name="품복비교" numFmtId="0">
      <sharedItems containsBlank="1"/>
    </cacheField>
    <cacheField name="발행일" numFmtId="0">
      <sharedItems containsBlank="1" containsMixedTypes="1" containsNumber="1" minValue="25.11" maxValue="25.12" count="7">
        <s v="26-05"/>
        <s v="26-06"/>
        <s v="26-04"/>
        <s v="26-03"/>
        <m/>
        <n v="25.12" u="1"/>
        <n v="25.11" u="1"/>
      </sharedItems>
    </cacheField>
    <cacheField name="남은금액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s v="2026-05-29"/>
    <s v="20260529-41000009-a00006xf"/>
    <s v="2026-05-31"/>
    <s v="2026-06-01"/>
    <s v="106-86-00748"/>
    <s v=""/>
    <x v="0"/>
    <s v="김재갑"/>
    <s v="서울 용산구 청파로 113-6 넥서스밸리 201호 "/>
    <s v="872-86-03255"/>
    <x v="0"/>
    <x v="0"/>
    <s v="이창민"/>
    <s v="경기도 수원시 영통구 대학4로 17,316-32호(이의동,에이스광교타워1차)"/>
    <n v="6094000"/>
    <n v="5540000"/>
    <n v="554000"/>
    <s v="세금계산서"/>
    <s v="일반"/>
    <s v="ASP발급"/>
    <s v=""/>
    <s v="청구"/>
    <s v="basic@ibasic.co.kr"/>
    <s v="info@cminsight.kr"/>
    <s v=""/>
    <s v=""/>
    <s v=""/>
    <s v="2026-05-29"/>
    <s v="HP 오멘 16-am1006TX + Windows 11 Pro"/>
    <s v=""/>
    <s v="1"/>
    <s v="3,100,000"/>
    <n v="3100000"/>
    <n v="310000"/>
    <s v=""/>
    <x v="0"/>
    <m/>
  </r>
  <r>
    <s v="2026-06-30"/>
    <s v="20260630-41000009-a00006yd"/>
    <s v="2026-06-30"/>
    <s v="2026-07-01"/>
    <s v="106-86-00748"/>
    <s v=""/>
    <x v="0"/>
    <s v="김재갑"/>
    <s v="서울 용산구 청파로 113-6 넥서스밸리 201호 "/>
    <s v="872-86-03255"/>
    <x v="0"/>
    <x v="0"/>
    <s v="이창민"/>
    <s v="경기도 수원시 영통구 대학4로 17,316-32호(이의동,에이스광교타워1차)"/>
    <n v="396000"/>
    <n v="360000"/>
    <n v="36000"/>
    <s v="세금계산서"/>
    <s v="일반"/>
    <s v="ASP발급"/>
    <s v=""/>
    <s v="청구"/>
    <s v="basic@ibasic.co.kr"/>
    <s v="info@cminsight.kr"/>
    <s v=""/>
    <s v=""/>
    <s v=""/>
    <s v="2026-06-30"/>
    <s v="삼성모니터 LS27F322(S32GF) IPS 베젤리스"/>
    <s v=""/>
    <s v="2"/>
    <s v="180,000"/>
    <n v="360000"/>
    <n v="36000"/>
    <s v=""/>
    <x v="1"/>
    <m/>
  </r>
  <r>
    <s v="2026-04-30"/>
    <s v="20260430-41000016-58379991"/>
    <s v="2026-04-30"/>
    <s v="2026-05-01"/>
    <s v="287-81-01207"/>
    <s v=""/>
    <x v="1"/>
    <m/>
    <m/>
    <m/>
    <x v="1"/>
    <x v="1"/>
    <s v="이창민"/>
    <s v="경기도 평택시 청북읍 현곡산단로93번기 89,디동"/>
    <m/>
    <m/>
    <m/>
    <s v="세금계산서"/>
    <s v="일반"/>
    <s v="ASP발급"/>
    <s v=""/>
    <s v="청구"/>
    <s v="kil8569@magicbill.co.kr"/>
    <s v="info@cminsioht.kr"/>
    <s v=""/>
    <s v=""/>
    <s v=""/>
    <s v="2026-04-30"/>
    <s v="레이저가공외"/>
    <s v=""/>
    <s v="0"/>
    <s v="0"/>
    <n v="2471920"/>
    <n v="247192"/>
    <s v=""/>
    <x v="2"/>
    <m/>
  </r>
  <r>
    <s v="2026-05-29"/>
    <s v="20260529-41000016-59305367"/>
    <s v="2026-06-01"/>
    <s v="2026-06-02"/>
    <s v="287-81-01207"/>
    <s v=""/>
    <x v="2"/>
    <s v="김석경"/>
    <s v="서울특별시 구로구 구로중앙로42길 60 (신도림동)"/>
    <s v="872-86-03255"/>
    <x v="0"/>
    <x v="0"/>
    <s v="이창민"/>
    <s v="경기도 평택시 청북읍 현곡산단로93번기 89,디동"/>
    <n v="3601444"/>
    <n v="3274040"/>
    <n v="327404"/>
    <s v="세금계산서"/>
    <s v="일반"/>
    <s v="ASP발급"/>
    <s v=""/>
    <s v="청구"/>
    <s v="kil8569@magicbill.co.kr"/>
    <s v="info@cminsioht.kr"/>
    <s v=""/>
    <s v=""/>
    <s v=""/>
    <s v="2026-05-29"/>
    <s v="레이저가공외"/>
    <s v=""/>
    <s v="0"/>
    <s v="0"/>
    <n v="3274040"/>
    <n v="327404"/>
    <s v=""/>
    <x v="0"/>
    <m/>
  </r>
  <r>
    <s v="2026-06-30"/>
    <s v="20260630-41000016-60276270"/>
    <s v="2026-07-02"/>
    <s v="2026-07-03"/>
    <s v="287-81-01207"/>
    <s v=""/>
    <x v="2"/>
    <s v="김석경"/>
    <s v="서울특별시 구로구 구로중앙로42길 60 (신도림동)"/>
    <s v="872-86-03255"/>
    <x v="0"/>
    <x v="0"/>
    <s v="이창민"/>
    <s v="경기도 평택시 청북읍 현곡산단로93번기 89,디동"/>
    <n v="1508716"/>
    <n v="1371560"/>
    <n v="137156"/>
    <s v="세금계산서"/>
    <s v="일반"/>
    <s v="ASP발급"/>
    <s v=""/>
    <s v="청구"/>
    <s v="kil8569@magicbill.co.kr"/>
    <s v="info@cminsioht.kr"/>
    <s v=""/>
    <s v=""/>
    <s v=""/>
    <s v="2026-06-30"/>
    <s v="레이저가공외"/>
    <s v=""/>
    <s v="0"/>
    <s v="0"/>
    <n v="1371560"/>
    <n v="137156"/>
    <s v=""/>
    <x v="1"/>
    <m/>
  </r>
  <r>
    <s v="2026-04-30"/>
    <s v="20260430-41000061-r7pqcmrw"/>
    <s v="2026-05-07"/>
    <s v="2026-05-07"/>
    <s v="125-86-23548"/>
    <s v=""/>
    <x v="1"/>
    <m/>
    <m/>
    <s v="872-86-03255"/>
    <x v="0"/>
    <x v="0"/>
    <s v="이창민"/>
    <s v="경기도 평택시 청북읍 현곡산단로93번길 89 (현곡리)"/>
    <m/>
    <m/>
    <m/>
    <s v="세금계산서"/>
    <s v="일반"/>
    <s v="ASP발급"/>
    <s v=""/>
    <s v="청구"/>
    <s v="dadrim@dadrim12.co.kr"/>
    <s v="info@cminsight.kr"/>
    <s v=""/>
    <s v=""/>
    <s v=""/>
    <s v="2026-04-30"/>
    <s v="7035(S) 630*620*100 외 72건"/>
    <s v=""/>
    <s v="0"/>
    <s v="0"/>
    <n v="12476500"/>
    <n v="1247650"/>
    <s v=""/>
    <x v="2"/>
    <m/>
  </r>
  <r>
    <s v="2026-05-31"/>
    <s v="20260531-41000061-hbt62tpa"/>
    <s v="2026-06-02"/>
    <s v="2026-06-02"/>
    <s v="125-86-23548"/>
    <s v=""/>
    <x v="3"/>
    <s v="채윤석"/>
    <s v="경기도 화성시 양감면 암소고개로 86-37 (신왕리)"/>
    <s v="872-86-03255"/>
    <x v="0"/>
    <x v="0"/>
    <s v="이창민"/>
    <s v="경기도 평택시 청북읍 현곡산단로93번길 89 (현곡리)"/>
    <n v="843700"/>
    <n v="767000"/>
    <n v="76700"/>
    <s v="세금계산서"/>
    <s v="일반"/>
    <s v="ASP발급"/>
    <s v=""/>
    <s v="청구"/>
    <s v="dadrim@dadrim12.co.kr"/>
    <s v="info@cminsight.kr"/>
    <s v=""/>
    <s v=""/>
    <s v=""/>
    <s v="2026-05-31"/>
    <s v="7035(G) 480*340*250 외 21건"/>
    <s v=""/>
    <s v="0"/>
    <s v="0"/>
    <n v="767000"/>
    <n v="76700"/>
    <s v=""/>
    <x v="0"/>
    <m/>
  </r>
  <r>
    <s v="2026-06-30"/>
    <s v="20260630-41000061-u6i6p9wm"/>
    <s v="2026-07-01"/>
    <s v="2026-07-01"/>
    <s v="125-86-23548"/>
    <s v=""/>
    <x v="3"/>
    <s v="채윤석"/>
    <s v="경기도 화성시 양감면 암소고개로 86-37 (신왕리)"/>
    <s v="872-86-03255"/>
    <x v="0"/>
    <x v="0"/>
    <s v="이창민"/>
    <s v="경기도 평택시 청북읍 현곡산단로93번길 89 (현곡리)"/>
    <n v="949300"/>
    <n v="863000"/>
    <n v="86300"/>
    <s v="세금계산서"/>
    <s v="일반"/>
    <s v="ASP발급"/>
    <s v=""/>
    <s v="청구"/>
    <s v="dadrim@dadrim12.co.kr"/>
    <s v="info@cminsight.kr"/>
    <s v=""/>
    <s v=""/>
    <s v=""/>
    <s v="2026-06-30"/>
    <s v="1018(G) 190*210*120 외 17건"/>
    <s v=""/>
    <s v="0"/>
    <s v="0"/>
    <n v="863000"/>
    <n v="86300"/>
    <s v=""/>
    <x v="1"/>
    <m/>
  </r>
  <r>
    <s v="2026-06-30"/>
    <s v="20260630-41000185-00909840"/>
    <s v="2026-07-01"/>
    <s v="2026-07-01"/>
    <s v="124-85-58542"/>
    <s v=""/>
    <x v="1"/>
    <m/>
    <s v="경기 화성 향남 하길리 1411-2 발안코아유통 A동101~103호"/>
    <s v="872-86-03255"/>
    <x v="0"/>
    <x v="0"/>
    <s v="이창민"/>
    <s v="평택시 청북읍 현곡산단로93번길 89,디동"/>
    <m/>
    <m/>
    <m/>
    <s v="세금계산서"/>
    <s v="일반"/>
    <s v="ASP발급"/>
    <s v=""/>
    <s v="청구"/>
    <s v="djgfbolt@gmail.com"/>
    <s v="info@cminsight.kr"/>
    <s v=""/>
    <s v=""/>
    <s v=""/>
    <s v="2026-06-30"/>
    <s v="H.T HEX BOLT"/>
    <s v=""/>
    <s v="30"/>
    <s v="20"/>
    <n v="600"/>
    <n v="60"/>
    <s v=""/>
    <x v="1"/>
    <m/>
  </r>
  <r>
    <s v="2026-06-25"/>
    <s v="20260625-41000009-b00001ai"/>
    <s v="2026-06-25"/>
    <s v="2026-06-26"/>
    <s v="120-81-88861"/>
    <s v=""/>
    <x v="1"/>
    <m/>
    <s v="서울특별시 강남구 영동대로 511, 3804 (삼성동,무역회관)"/>
    <s v="872-86-03255"/>
    <x v="0"/>
    <x v="0"/>
    <s v="이창민"/>
    <s v="경기도 평택시 청북읍 현곡산단로93번길 89, 디동"/>
    <m/>
    <m/>
    <m/>
    <s v="세금계산서"/>
    <s v="일반"/>
    <s v="ASP발급"/>
    <s v="W060ZG"/>
    <s v="청구"/>
    <s v="ar@misumi.co.kr"/>
    <s v="info@sminsight.kr"/>
    <s v=""/>
    <s v=""/>
    <s v=""/>
    <s v="2026-06-25"/>
    <s v="미스미부품대"/>
    <s v=""/>
    <s v="0"/>
    <s v="0"/>
    <n v="702104"/>
    <n v="70210"/>
    <s v=""/>
    <x v="1"/>
    <m/>
  </r>
  <r>
    <s v="2026-04-30"/>
    <s v="20260430-41000016-58566887"/>
    <s v="2026-05-06"/>
    <s v="2026-05-07"/>
    <s v="143-81-01265"/>
    <s v=""/>
    <x v="1"/>
    <m/>
    <m/>
    <m/>
    <x v="0"/>
    <x v="1"/>
    <s v="이창민"/>
    <s v="경기도 수원시영통구 대학4로 17 (이의동, 에이스광교타워1차) 316-32호 "/>
    <m/>
    <m/>
    <m/>
    <s v="세금계산서"/>
    <s v="일반"/>
    <s v="ASP발급"/>
    <s v=""/>
    <s v="청구"/>
    <s v="hys4468@naver.com"/>
    <s v="info@cminsioht.kr"/>
    <s v=""/>
    <s v=""/>
    <s v=""/>
    <s v="2026-04-30"/>
    <s v="도금대"/>
    <s v=""/>
    <s v="0"/>
    <s v="0"/>
    <n v="300000"/>
    <n v="30000"/>
    <s v=""/>
    <x v="2"/>
    <m/>
  </r>
  <r>
    <s v="2026-05-31"/>
    <s v="20260531-41000016-59455554"/>
    <s v="2026-06-04"/>
    <s v="2026-06-05"/>
    <s v="143-81-01265"/>
    <s v=""/>
    <x v="4"/>
    <s v="이주영"/>
    <s v="경기도 화성시 향남읍 발안공단로 4길 114 A동"/>
    <s v="872-86-03255"/>
    <x v="0"/>
    <x v="0"/>
    <s v="이창민"/>
    <s v="경기도 수원시영통구 대학4로 17 (이의동, 에이스광교타워1차) 316-32호 "/>
    <n v="396000"/>
    <n v="360000"/>
    <n v="36000"/>
    <s v="세금계산서"/>
    <s v="일반"/>
    <s v="ASP발급"/>
    <s v=""/>
    <s v="청구"/>
    <s v="hys4468@naver.com"/>
    <s v="info@cminsioht.kr"/>
    <s v=""/>
    <s v=""/>
    <s v=""/>
    <s v="2026-05-31"/>
    <s v="도금대"/>
    <s v=""/>
    <s v="0"/>
    <s v="0"/>
    <n v="360000"/>
    <n v="36000"/>
    <s v=""/>
    <x v="0"/>
    <m/>
  </r>
  <r>
    <s v="2026-06-30"/>
    <s v="20260630-41000016-60339490"/>
    <s v="2026-07-03"/>
    <s v="2026-07-04"/>
    <s v="143-81-01265"/>
    <s v=""/>
    <x v="4"/>
    <s v="이주영"/>
    <s v="경기도 화성시 향남읍 발안공단로 4길 114 A동"/>
    <s v="872-86-03255"/>
    <x v="0"/>
    <x v="0"/>
    <s v="이창민"/>
    <s v="경기도 수원시영통구 대학4로 17 (이의동, 에이스광교타워1차) 316-32호 "/>
    <n v="1232000"/>
    <n v="1120000"/>
    <n v="112000"/>
    <s v="세금계산서"/>
    <s v="일반"/>
    <s v="ASP발급"/>
    <s v=""/>
    <s v="청구"/>
    <s v="hys4468@naver.com"/>
    <s v="info@cminsioht.kr"/>
    <s v=""/>
    <s v=""/>
    <s v=""/>
    <s v="2026-06-30"/>
    <s v="도금대"/>
    <s v=""/>
    <s v="0"/>
    <s v="0"/>
    <n v="1120000"/>
    <n v="112000"/>
    <s v=""/>
    <x v="1"/>
    <m/>
  </r>
  <r>
    <s v="2026-06-15"/>
    <s v="20260615-10260615-71126937"/>
    <s v="2026-06-15"/>
    <s v="2026-06-15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6-15"/>
    <s v="운송료"/>
    <s v=""/>
    <s v=""/>
    <s v=""/>
    <n v="50000"/>
    <n v="5000"/>
    <s v=""/>
    <x v="1"/>
    <m/>
  </r>
  <r>
    <s v="2026-06-12"/>
    <s v="20260612-10260612-70086514"/>
    <s v="2026-06-12"/>
    <s v="2026-06-12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6-12"/>
    <s v="운송료"/>
    <s v=""/>
    <s v=""/>
    <s v=""/>
    <n v="60000"/>
    <n v="6000"/>
    <s v=""/>
    <x v="1"/>
    <m/>
  </r>
  <r>
    <s v="2026-06-11"/>
    <s v="20260611-10260611-69604824"/>
    <s v="2026-06-11"/>
    <s v="2026-06-11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6-11"/>
    <s v="운송료"/>
    <s v=""/>
    <s v=""/>
    <s v=""/>
    <n v="45000"/>
    <n v="4500"/>
    <s v=""/>
    <x v="1"/>
    <m/>
  </r>
  <r>
    <s v="2026-06-08"/>
    <s v="20260608-10260608-63020695"/>
    <s v="2026-06-08"/>
    <s v="2026-06-08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6-08"/>
    <s v="운송료"/>
    <s v=""/>
    <s v=""/>
    <s v=""/>
    <n v="450000"/>
    <n v="45000"/>
    <s v=""/>
    <x v="1"/>
    <m/>
  </r>
  <r>
    <s v="2026-06-05"/>
    <s v="20260605-10260605-60126178"/>
    <s v="2026-06-05"/>
    <s v="2026-06-05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6-05"/>
    <s v="운송료(양산)"/>
    <s v=""/>
    <s v=""/>
    <s v=""/>
    <n v="500000"/>
    <n v="50000"/>
    <s v=""/>
    <x v="1"/>
    <m/>
  </r>
  <r>
    <s v="2026-06-04"/>
    <s v="20260604-10260604-58256456"/>
    <s v="2026-06-04"/>
    <s v="2026-06-04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6-04"/>
    <s v="운송료"/>
    <s v=""/>
    <s v=""/>
    <s v=""/>
    <n v="70000"/>
    <n v="7000"/>
    <s v=""/>
    <x v="1"/>
    <m/>
  </r>
  <r>
    <s v="2026-06-02"/>
    <s v="20260602-10260602-55936998"/>
    <s v="2026-06-02"/>
    <s v="2026-06-02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6-02"/>
    <s v="운송료(성곡동)"/>
    <s v=""/>
    <s v=""/>
    <s v=""/>
    <n v="70000"/>
    <n v="7000"/>
    <s v=""/>
    <x v="1"/>
    <m/>
  </r>
  <r>
    <s v="2026-06-02"/>
    <s v="20260602-10260602-55932714"/>
    <s v="2026-06-02"/>
    <s v="2026-06-02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수정세금계산서"/>
    <s v="일반(수정)"/>
    <s v="인터넷발급"/>
    <s v="당초 작성일자 (20260602), 당초 승인번호 (20260602-10260602-55860098)"/>
    <s v="청구"/>
    <s v="rudrlno1@naver.com"/>
    <s v="telstareng@telstareng.co.kr"/>
    <s v=""/>
    <s v=""/>
    <s v=""/>
    <s v="2026-06-02"/>
    <s v="운송료(성곡동)"/>
    <s v=""/>
    <s v=""/>
    <s v=""/>
    <n v="-60000"/>
    <n v="-6000"/>
    <s v=""/>
    <x v="1"/>
    <m/>
  </r>
  <r>
    <s v="2026-06-02"/>
    <s v="20260602-10260602-55860098"/>
    <s v="2026-06-02"/>
    <s v="2026-06-02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6-02"/>
    <s v="운송료(성곡동)"/>
    <s v=""/>
    <s v=""/>
    <s v=""/>
    <n v="60000"/>
    <n v="6000"/>
    <s v=""/>
    <x v="1"/>
    <m/>
  </r>
  <r>
    <s v="2026-06-01"/>
    <s v="20260601-10260601-54122582"/>
    <s v="2026-06-01"/>
    <s v="2026-06-01"/>
    <s v="125-86-29028"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6-01"/>
    <s v="운송료(양산-진위)"/>
    <s v=""/>
    <s v=""/>
    <s v=""/>
    <n v="650000"/>
    <n v="65000"/>
    <s v=""/>
    <x v="1"/>
    <m/>
  </r>
  <r>
    <s v="2026-04-30"/>
    <s v="20260430-41000245-k5489537"/>
    <s v="2026-04-30"/>
    <s v="2026-04-30"/>
    <s v="124-50-57648"/>
    <s v=""/>
    <x v="1"/>
    <m/>
    <m/>
    <s v="674-53-00544"/>
    <x v="0"/>
    <x v="2"/>
    <s v="전연아"/>
    <s v="경기도 평택시 청북읍 현곡산단로93번길 89 "/>
    <m/>
    <m/>
    <m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4-30"/>
    <s v="PC 외"/>
    <s v=""/>
    <s v="0"/>
    <s v="0"/>
    <n v="445500"/>
    <n v="44550"/>
    <s v="(2026-04-01 ~ 2026-04-30)"/>
    <x v="2"/>
    <m/>
  </r>
  <r>
    <s v="2026-05-29"/>
    <s v="20260529-41000245-q7972983"/>
    <s v="2026-05-29"/>
    <s v="2026-05-29"/>
    <s v="124-50-57648"/>
    <s v=""/>
    <x v="1"/>
    <m/>
    <m/>
    <s v="674-53-00544"/>
    <x v="0"/>
    <x v="2"/>
    <s v="전연아"/>
    <s v="경기도 평택시 청북읍 현곡산단로93번길 89 "/>
    <m/>
    <m/>
    <m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5-29"/>
    <s v="POM 외"/>
    <s v=""/>
    <s v="0"/>
    <s v="0"/>
    <n v="86600"/>
    <n v="8660"/>
    <s v="(2026-05-01 ~ 2026-05-29)"/>
    <x v="0"/>
    <m/>
  </r>
  <r>
    <s v="2026-06-30"/>
    <s v="20260630-41000245-u9432228"/>
    <s v="2026-06-30"/>
    <s v="2026-06-30"/>
    <s v="124-50-57648"/>
    <s v=""/>
    <x v="5"/>
    <s v="신창익"/>
    <s v="경기도 화성시 팔탄면 푸른들판로 694-3 "/>
    <s v="872-86-03255"/>
    <x v="0"/>
    <x v="0"/>
    <s v="이창민"/>
    <s v="경기도 평택시 청북읍 현곡산단로93번길 89, 디동 "/>
    <n v="78430"/>
    <n v="71300"/>
    <n v="7130"/>
    <s v="세금계산서"/>
    <s v="일반"/>
    <s v="ASP발급"/>
    <s v="기업:대성베크라이트(신창익)185-120358-04-027"/>
    <s v="청구"/>
    <s v="dsbk6858@daum.net"/>
    <s v="info@sminsight.kr"/>
    <s v=""/>
    <s v=""/>
    <s v=""/>
    <s v="2026-06-30"/>
    <s v="POM"/>
    <s v=""/>
    <s v="0"/>
    <s v="0"/>
    <n v="71300"/>
    <n v="7130"/>
    <s v="(2026-06-01 ~ 2026-06-30)"/>
    <x v="1"/>
    <m/>
  </r>
  <r>
    <s v="2026-06-30"/>
    <s v="20260630-10260704-89710086"/>
    <s v="2026-07-04"/>
    <s v="2026-07-04"/>
    <s v="124-23-81424"/>
    <s v=""/>
    <x v="1"/>
    <m/>
    <s v="경기도 화성시 만세구 향남읍 백토관리길 75"/>
    <s v="674-53-00544"/>
    <x v="0"/>
    <x v="2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6-06-30"/>
    <s v="socket 방전"/>
    <s v="set"/>
    <s v="2"/>
    <s v="25,000"/>
    <n v="50000"/>
    <n v="5000"/>
    <s v=""/>
    <x v="1"/>
    <m/>
  </r>
  <r>
    <s v="2026-03-26"/>
    <s v="20260326-10260326-76495309"/>
    <s v="2026-03-26"/>
    <s v="2026-03-26"/>
    <s v="338-07-03269"/>
    <s v=""/>
    <x v="6"/>
    <s v="김종욱"/>
    <s v="경기도 화성시 만세구 팔탄면 시청로 934-3, 제비동 214호(우리들유통타운)"/>
    <s v="872-86-03255"/>
    <x v="2"/>
    <x v="0"/>
    <s v="이창민"/>
    <s v="경기도 수원시 영통구 대학4로 17(이의동)"/>
    <n v="6160000"/>
    <n v="5600000"/>
    <n v="560000"/>
    <s v="세금계산서"/>
    <s v="일반"/>
    <s v="인터넷발급"/>
    <s v=""/>
    <s v="청구"/>
    <s v="kim@autogage.co.kr"/>
    <s v="cmi72@cminsight.kr"/>
    <s v=""/>
    <s v=""/>
    <s v=""/>
    <s v="2026-03-26"/>
    <s v="OILPAN AUTO MEASURING UNIT(삼기)"/>
    <s v=""/>
    <s v="1"/>
    <s v="5,600,000"/>
    <n v="5600000"/>
    <n v="560000"/>
    <s v=""/>
    <x v="3"/>
    <m/>
  </r>
  <r>
    <s v="2026-04-14"/>
    <s v="20260414-41000061-wg7dd7c8"/>
    <s v="2026-04-27"/>
    <s v="2026-04-27"/>
    <s v="135-81-91484"/>
    <s v=""/>
    <x v="1"/>
    <m/>
    <m/>
    <m/>
    <x v="1"/>
    <x v="1"/>
    <s v="이창민"/>
    <s v="경기도 수원시 영통구 대학4로 17,316-32호(이의동, 에이스광교타워1차)_x000a_"/>
    <m/>
    <m/>
    <m/>
    <s v="세금계산서"/>
    <s v="일반"/>
    <s v="ASP발급"/>
    <s v=""/>
    <s v="청구"/>
    <s v="tax@dongdotech.co.kr"/>
    <s v="info@cminsight.kr"/>
    <s v=""/>
    <s v=""/>
    <s v=""/>
    <s v="2026-04-14"/>
    <s v="E.Micrometer(고속,PRG) 외 4건"/>
    <s v=""/>
    <s v="0"/>
    <s v="0"/>
    <n v="5923000"/>
    <n v="592300"/>
    <s v=""/>
    <x v="2"/>
    <m/>
  </r>
  <r>
    <s v="2026-04-16"/>
    <s v="20260416-41000061-wg9dd7ca"/>
    <s v="2026-04-27"/>
    <s v="2026-04-27"/>
    <s v="135-81-91484"/>
    <s v=""/>
    <x v="1"/>
    <m/>
    <m/>
    <m/>
    <x v="1"/>
    <x v="1"/>
    <s v="이창민"/>
    <s v="경기도 수원시 영통구 대학4로 17,316-32호(이의동, 에이스광교타워1차)_x000a_"/>
    <m/>
    <m/>
    <m/>
    <s v="세금계산서"/>
    <s v="일반"/>
    <s v="ASP발급"/>
    <s v=""/>
    <s v="청구"/>
    <s v="tax@dongdotech.co.kr"/>
    <s v="info@cminsight.kr"/>
    <s v=""/>
    <s v=""/>
    <s v=""/>
    <s v="2026-04-16"/>
    <s v="BUSHING"/>
    <s v=""/>
    <s v="200"/>
    <s v="2,000"/>
    <n v="400000"/>
    <n v="40000"/>
    <s v=""/>
    <x v="2"/>
    <m/>
  </r>
  <r>
    <s v="2026-05-29"/>
    <s v="20260529-41000061-pruiupcp"/>
    <s v="2026-05-29"/>
    <s v="2026-05-29"/>
    <s v="135-81-91484"/>
    <s v=""/>
    <x v="7"/>
    <s v="김동현"/>
    <s v="경기도 화성시 동탄대로23길 121 (영천동) 동탄우미뉴브 214~6호"/>
    <s v="872-86-03255"/>
    <x v="0"/>
    <x v="0"/>
    <s v="이창민"/>
    <s v="경기도 수원시 영통구 대학4로 17,316-32호(이의동, 에이스광교타워1차)_x000a_"/>
    <n v="385000"/>
    <n v="350000"/>
    <n v="35000"/>
    <s v="세금계산서"/>
    <s v="일반"/>
    <s v="ASP발급"/>
    <s v=""/>
    <s v="청구"/>
    <s v="tax@dongdotech.co.kr"/>
    <s v="info@cminsight.kr"/>
    <s v=""/>
    <s v=""/>
    <s v=""/>
    <s v="2026-05-29"/>
    <s v="태양기계_전주(ML-16PT-R, ML-CP-R 세팅)"/>
    <s v=""/>
    <s v="1"/>
    <s v="350,000"/>
    <n v="350000"/>
    <n v="35000"/>
    <s v=""/>
    <x v="0"/>
    <m/>
  </r>
  <r>
    <s v="2026-05-14"/>
    <s v="20260514-41000061-fhkne2ul"/>
    <s v="2026-05-15"/>
    <s v="2026-05-15"/>
    <s v="135-81-91484"/>
    <s v=""/>
    <x v="7"/>
    <s v="김동현"/>
    <s v="경기도 화성시 동탄대로23길 121 (영천동) 동탄우미뉴브 214~6호"/>
    <s v="872-86-03255"/>
    <x v="0"/>
    <x v="0"/>
    <s v="이창민"/>
    <s v="경기도 수원시 영통구 대학4로 17,316-32호(이의동, 에이스광교타워1차)_x000a_"/>
    <n v="139700"/>
    <n v="127000"/>
    <n v="12700"/>
    <s v="세금계산서"/>
    <s v="일반"/>
    <s v="ASP발급"/>
    <s v=""/>
    <s v="청구"/>
    <s v="tax@dongdotech.co.kr"/>
    <s v="info@cminsight.kr"/>
    <s v=""/>
    <s v=""/>
    <s v=""/>
    <s v="2026-05-14"/>
    <s v="PROBE"/>
    <s v="케이블 3M, 측정범위 ±2mm, 분해능 1um, 반복도 0.15um"/>
    <s v="1"/>
    <s v="127,000"/>
    <n v="127000"/>
    <n v="12700"/>
    <s v=""/>
    <x v="0"/>
    <m/>
  </r>
  <r>
    <s v="2026-04-30"/>
    <s v="20260430-41000015-00687294"/>
    <s v="2026-05-07"/>
    <s v="2026-05-07"/>
    <s v="134-14-44517"/>
    <s v=""/>
    <x v="1"/>
    <m/>
    <m/>
    <s v="674-53-00544"/>
    <x v="0"/>
    <x v="2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4-30"/>
    <s v="MP3030  230*300 외"/>
    <s v=""/>
    <s v=""/>
    <s v="0"/>
    <n v="434500"/>
    <n v="43450"/>
    <s v=""/>
    <x v="2"/>
    <m/>
  </r>
  <r>
    <s v="2026-05-28"/>
    <s v="20260528-41000015-00769460"/>
    <s v="2026-05-29"/>
    <s v="2026-05-29"/>
    <s v="134-14-44517"/>
    <s v=""/>
    <x v="1"/>
    <m/>
    <m/>
    <s v="674-53-00544"/>
    <x v="1"/>
    <x v="2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5-28"/>
    <s v="MP4040 1565*427"/>
    <s v=""/>
    <s v=""/>
    <s v="0"/>
    <n v="8720000"/>
    <n v="872000"/>
    <s v=""/>
    <x v="0"/>
    <m/>
  </r>
  <r>
    <s v="2026-06-26"/>
    <s v="20260626-41000015-00948076"/>
    <s v="2026-06-30"/>
    <s v="2026-06-30"/>
    <s v="134-14-44517"/>
    <s v=""/>
    <x v="8"/>
    <s v="정 용호"/>
    <s v="경기도 평택시 청북면 서해로 1711 외5필지102호"/>
    <s v="872-86-03255"/>
    <x v="0"/>
    <x v="0"/>
    <s v="이창민"/>
    <s v="경기 평택시 청북읍 현곡산업산단로 93번길 89, 디동"/>
    <n v="525470"/>
    <n v="477700"/>
    <n v="47770"/>
    <s v="세금계산서"/>
    <s v="일반"/>
    <s v="ASP발급"/>
    <s v=""/>
    <s v="청구"/>
    <s v="yhcan67@hanmail.net"/>
    <s v="info@cminsight.kr"/>
    <s v=""/>
    <s v=""/>
    <s v=""/>
    <s v="2026-06-26"/>
    <s v="MP4080 975 외"/>
    <s v=""/>
    <s v=""/>
    <s v="0"/>
    <n v="477700"/>
    <n v="47770"/>
    <s v=""/>
    <x v="1"/>
    <m/>
  </r>
  <r>
    <s v="2026-04-23"/>
    <s v="20260423-10260423-15740396"/>
    <s v="2026-04-23"/>
    <s v="2026-04-23"/>
    <s v="672-59-00439"/>
    <s v=""/>
    <x v="1"/>
    <m/>
    <m/>
    <s v="872-86-03255"/>
    <x v="0"/>
    <x v="0"/>
    <s v="이창민"/>
    <s v="경기도 수원시 영통구 대학4로 17, 316-32호"/>
    <m/>
    <m/>
    <m/>
    <s v="세금계산서"/>
    <s v="일반"/>
    <s v="인터넷발급"/>
    <s v=""/>
    <s v="청구"/>
    <s v="gobongj66@naver.com"/>
    <s v="info@cminsight.kr"/>
    <s v=""/>
    <s v=""/>
    <s v=""/>
    <s v="2026-04-23"/>
    <s v="df80160"/>
    <s v=""/>
    <s v="1"/>
    <s v="530,000"/>
    <n v="530000"/>
    <n v="53000"/>
    <s v=""/>
    <x v="2"/>
    <m/>
  </r>
  <r>
    <s v="2026-06-30"/>
    <s v="20260630-41000115-9g2x0usf"/>
    <s v="2026-07-01"/>
    <s v="2026-07-02"/>
    <s v="142-85-06213"/>
    <s v=""/>
    <x v="1"/>
    <m/>
    <s v="경기도 화성시동탄첨단산업1로 27, A동 1816,1817,1818호(영천동,금강펜테리움IX타워)"/>
    <s v="872-86-03255"/>
    <x v="1"/>
    <x v="0"/>
    <s v="이창민"/>
    <s v="경기도평택시 청북읍 현곡산단로93번길 89, 디동"/>
    <m/>
    <m/>
    <m/>
    <s v="세금계산서"/>
    <s v="일반"/>
    <s v="ASP발급"/>
    <s v=""/>
    <s v="청구"/>
    <s v="sw@samickthk.co.kr"/>
    <s v="info@cminsight.kr"/>
    <s v=""/>
    <s v=""/>
    <s v=""/>
    <s v="2026-06-30"/>
    <s v="베어링 외"/>
    <s v=""/>
    <s v="0"/>
    <s v="0"/>
    <n v="13110"/>
    <n v="1311"/>
    <s v=""/>
    <x v="1"/>
    <m/>
  </r>
  <r>
    <s v="2026-06-09"/>
    <s v="20260609-10260609-65225468"/>
    <s v="2026-06-09"/>
    <s v="2026-06-09"/>
    <s v="438-13-00864"/>
    <s v=""/>
    <x v="9"/>
    <s v="허삼회"/>
    <s v="부산광역시 강서구 유통단지1로 41, 112동 2층 217호(대저2동, 부산티플렉스)"/>
    <s v="872-86-03255"/>
    <x v="3"/>
    <x v="0"/>
    <s v="이창민"/>
    <s v="경기도 평택시 청북읍 현곡산단로93번길 89, 디동"/>
    <n v="2200000"/>
    <n v="2000000"/>
    <n v="200000"/>
    <s v="세금계산서"/>
    <s v="일반"/>
    <s v="인터넷발급"/>
    <s v=""/>
    <s v="청구"/>
    <s v="sgkorea32@naver.com"/>
    <s v="info@cminsight.kr"/>
    <s v=""/>
    <s v=""/>
    <s v=""/>
    <s v="2026-06-09"/>
    <s v="산업용 안전펜스(추가분)"/>
    <s v=""/>
    <s v=""/>
    <s v=""/>
    <n v="2000000"/>
    <n v="200000"/>
    <s v=""/>
    <x v="1"/>
    <m/>
  </r>
  <r>
    <s v="2026-06-09"/>
    <s v="20260609-10260609-65221340"/>
    <s v="2026-06-09"/>
    <s v="2026-06-09"/>
    <s v="438-13-00864"/>
    <s v=""/>
    <x v="9"/>
    <s v="허삼회"/>
    <s v="부산광역시 강서구 유통단지1로 41, 112동 2층 217호(대저2동, 부산티플렉스)"/>
    <s v="872-86-03255"/>
    <x v="3"/>
    <x v="0"/>
    <s v="이창민"/>
    <s v="경기도 평택시 청북읍 현곡산단로93번길 89, 디동"/>
    <n v="13200000"/>
    <n v="12000000"/>
    <n v="1200000"/>
    <s v="세금계산서"/>
    <s v="일반"/>
    <s v="인터넷발급"/>
    <s v=""/>
    <s v="청구"/>
    <s v="sgkorea32@naver.com"/>
    <s v="info@cminsight.kr"/>
    <s v=""/>
    <s v=""/>
    <s v=""/>
    <s v="2026-06-09"/>
    <s v="산업용 안전펜스(잔금50%)"/>
    <s v=""/>
    <s v=""/>
    <s v=""/>
    <n v="12000000"/>
    <n v="1200000"/>
    <s v=""/>
    <x v="1"/>
    <m/>
  </r>
  <r>
    <s v="2026-06-30"/>
    <s v="20260630-10260707-93241730"/>
    <s v="2026-07-07"/>
    <s v="2026-07-07"/>
    <s v="110-32-94636"/>
    <s v=""/>
    <x v="10"/>
    <s v="성종곤"/>
    <s v="경기도 시흥시 공단1대로 204, 27동 309호(정왕동, 공구상가)"/>
    <s v="872-86-03255"/>
    <x v="3"/>
    <x v="0"/>
    <s v="이창민"/>
    <s v=""/>
    <n v="21780000"/>
    <n v="19800000"/>
    <n v="1980000"/>
    <s v="세금계산서"/>
    <s v="일반"/>
    <s v="인터넷발급"/>
    <s v=""/>
    <s v="청구"/>
    <s v="drcfactory@hanmail.net"/>
    <s v="info@cminsight.kr"/>
    <s v=""/>
    <s v=""/>
    <s v=""/>
    <s v="2026-06-30"/>
    <s v="SNT상용1톤 리어액슬조립라인 전주화신설치 잔금(60%)"/>
    <s v=""/>
    <s v=""/>
    <s v=""/>
    <n v="19800000"/>
    <n v="1980000"/>
    <s v=""/>
    <x v="1"/>
    <m/>
  </r>
  <r>
    <s v="2026-06-30"/>
    <s v="20260630-10260630-81890567"/>
    <s v="2026-06-30"/>
    <s v="2026-06-30"/>
    <s v="122-32-68859"/>
    <s v=""/>
    <x v="1"/>
    <m/>
    <m/>
    <m/>
    <x v="1"/>
    <x v="1"/>
    <s v="이창민"/>
    <s v="경기도 평택시 청북읍 현곡산단로93번길 89 디동"/>
    <m/>
    <m/>
    <m/>
    <s v="세금계산서"/>
    <s v="일반"/>
    <s v="인터넷발급"/>
    <s v=""/>
    <s v="청구"/>
    <s v="khdp20@naver.com"/>
    <s v="info@cminsight.kt"/>
    <s v=""/>
    <s v=""/>
    <s v=""/>
    <s v="2026-06-30"/>
    <s v="기구부셋팅"/>
    <s v=""/>
    <s v=""/>
    <s v=""/>
    <n v="5600000"/>
    <n v="560000"/>
    <s v=""/>
    <x v="1"/>
    <m/>
  </r>
  <r>
    <s v="2026-04-30"/>
    <s v="20260430-10260507-31404407"/>
    <s v="2026-05-07"/>
    <s v="2026-05-07"/>
    <s v="311-02-98669"/>
    <s v=""/>
    <x v="1"/>
    <m/>
    <m/>
    <m/>
    <x v="1"/>
    <x v="1"/>
    <s v="이창민"/>
    <s v="경기도 평택시 청북읍 현곡산단로 93번길 89 , 디동 "/>
    <m/>
    <m/>
    <m/>
    <s v="세금계산서"/>
    <s v="일반"/>
    <s v="인터넷발급"/>
    <s v="기업- 141 040315 04 012 "/>
    <s v="청구"/>
    <s v="hsk3469@naver.com"/>
    <s v="info@cminsight.kr"/>
    <s v=""/>
    <s v=""/>
    <s v=""/>
    <s v="2026-04-30"/>
    <s v="샤프트외 "/>
    <s v=""/>
    <s v=""/>
    <s v=""/>
    <n v="4276000"/>
    <n v="427600"/>
    <s v=""/>
    <x v="2"/>
    <m/>
  </r>
  <r>
    <s v="2026-05-21"/>
    <s v="20260521-10260521-44535577"/>
    <s v="2026-05-21"/>
    <s v="2026-05-21"/>
    <s v="113-22-75944"/>
    <s v=""/>
    <x v="1"/>
    <m/>
    <s v="경기도 평택시 청북읍 고렴길 203, C동"/>
    <s v="674-53-00544"/>
    <x v="1"/>
    <x v="2"/>
    <s v="이창민"/>
    <s v="경기도 평택시 청북읍 현고산당로93번길89"/>
    <m/>
    <m/>
    <m/>
    <s v="세금계산서"/>
    <s v="일반"/>
    <s v="인터넷발급"/>
    <s v=""/>
    <s v="청구"/>
    <s v="kts9987@naver.com"/>
    <s v="info@cminsight.kr"/>
    <s v=""/>
    <s v=""/>
    <s v=""/>
    <s v="2026-05-21"/>
    <s v="창원 위아 엑슬 1라인 잔금 20%"/>
    <s v=""/>
    <s v=""/>
    <s v=""/>
    <n v="10000000"/>
    <n v="1000000"/>
    <s v=""/>
    <x v="0"/>
    <m/>
  </r>
  <r>
    <s v="2026-04-30"/>
    <s v="20260430-70260430-22977161"/>
    <s v="2026-04-30"/>
    <s v="2026-04-30"/>
    <s v="382-55-00426"/>
    <s v=""/>
    <x v="1"/>
    <m/>
    <s v="경기도 화성시 만세구 향남읍 큰말안길 9-2"/>
    <s v="674-53-00544"/>
    <x v="1"/>
    <x v="2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6-04-30"/>
    <s v="부품"/>
    <s v=""/>
    <s v="0"/>
    <s v="0"/>
    <n v="170000"/>
    <n v="17000"/>
    <s v=""/>
    <x v="2"/>
    <m/>
  </r>
  <r>
    <s v="2026-05-31"/>
    <s v="20260531-70260531-51701079"/>
    <s v="2026-05-31"/>
    <s v="2026-05-31"/>
    <s v="382-55-00426"/>
    <s v=""/>
    <x v="1"/>
    <m/>
    <s v="경기도 화성시 만세구 향남읍 큰말안길 9-2"/>
    <s v="674-53-00544"/>
    <x v="1"/>
    <x v="2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6-05-31"/>
    <s v="부품"/>
    <s v=""/>
    <s v="0"/>
    <s v="0"/>
    <n v="320000"/>
    <n v="32000"/>
    <s v=""/>
    <x v="0"/>
    <m/>
  </r>
  <r>
    <s v="2026-06-30"/>
    <s v="20260630-70260630-83048146"/>
    <s v="2026-06-30"/>
    <s v="2026-06-30"/>
    <s v="382-55-00426"/>
    <s v=""/>
    <x v="11"/>
    <s v="김윤성"/>
    <s v="경기도 화성시 만세구 향남읍 큰말안길 9-2"/>
    <s v="872-86-03255"/>
    <x v="0"/>
    <x v="0"/>
    <s v="이창민"/>
    <s v="경기도 평택시 청북읍 현곡산단로93번길 89, 디동"/>
    <n v="132000"/>
    <n v="120000"/>
    <n v="12000"/>
    <s v="세금계산서"/>
    <s v="일반"/>
    <s v="모바일발급"/>
    <s v=""/>
    <s v="청구"/>
    <s v="seungil0515@naver.com"/>
    <s v="cmi72@cminsight.kr"/>
    <s v=""/>
    <s v=""/>
    <s v=""/>
    <s v="2026-06-30"/>
    <s v="부품"/>
    <s v=""/>
    <s v="0"/>
    <s v="0"/>
    <n v="120000"/>
    <n v="12000"/>
    <s v=""/>
    <x v="1"/>
    <m/>
  </r>
  <r>
    <s v="2026-05-15"/>
    <s v="20260515-10260515-41242929"/>
    <s v="2026-05-15"/>
    <s v="2026-05-15"/>
    <s v="495-64-00442"/>
    <s v=""/>
    <x v="12"/>
    <s v="김정식"/>
    <s v="경기도 평택시 청북읍 고렴길 203"/>
    <s v="872-86-03255"/>
    <x v="3"/>
    <x v="0"/>
    <s v="이창민"/>
    <s v="경기도 평택시 청북면 현곡산단로93번길 89 디동"/>
    <n v="7150000"/>
    <n v="6500000"/>
    <n v="650000"/>
    <s v="세금계산서"/>
    <s v="일반"/>
    <s v="인터넷발급"/>
    <s v=""/>
    <s v="청구"/>
    <s v="ens6554@naver.com"/>
    <s v="info@cminsight.kr"/>
    <s v=""/>
    <s v=""/>
    <s v=""/>
    <s v="2026-05-15"/>
    <s v="snt 컨베어 조립"/>
    <s v="식"/>
    <s v="1"/>
    <s v="6,500,000"/>
    <n v="6500000"/>
    <n v="650000"/>
    <s v=""/>
    <x v="0"/>
    <m/>
  </r>
  <r>
    <s v="2026-06-12"/>
    <s v="20260612-10260612-70235469"/>
    <s v="2026-06-12"/>
    <s v="2026-06-12"/>
    <s v="495-64-00442"/>
    <s v=""/>
    <x v="12"/>
    <s v="김정식"/>
    <s v="경기도 평택시 청북읍 고렴길 203"/>
    <s v="872-86-03255"/>
    <x v="4"/>
    <x v="0"/>
    <s v="이창민"/>
    <s v="경기도 평택시 청북면 현곡산단로93번길 89 디동"/>
    <n v="14982000"/>
    <n v="13620000"/>
    <n v="1362000"/>
    <s v="세금계산서"/>
    <s v="일반"/>
    <s v="인터넷발급"/>
    <s v=""/>
    <s v="청구"/>
    <s v="ens6554@naver.com"/>
    <s v="info@cminsight.kr"/>
    <s v=""/>
    <s v=""/>
    <s v=""/>
    <s v="2026-06-12"/>
    <s v="창원  엑셀라인 개조건(잔금60%)"/>
    <s v="식"/>
    <s v="1"/>
    <s v="13,620,000"/>
    <n v="13620000"/>
    <n v="1362000"/>
    <s v=""/>
    <x v="1"/>
    <m/>
  </r>
  <r>
    <s v="2026-04-30"/>
    <s v="20260430-41000022-06908ca4"/>
    <s v="2026-05-03"/>
    <s v="2026-05-03"/>
    <s v="479-15-00535"/>
    <s v=""/>
    <x v="1"/>
    <m/>
    <m/>
    <s v="674-53-00544"/>
    <x v="1"/>
    <x v="2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4-25"/>
    <s v="CM"/>
    <s v=""/>
    <s v=""/>
    <s v=""/>
    <n v="23000"/>
    <n v="2300"/>
    <s v=""/>
    <x v="2"/>
    <m/>
  </r>
  <r>
    <s v="2026-05-31"/>
    <s v="20260531-41000022-06ac14eb"/>
    <s v="2026-05-31"/>
    <s v="2026-05-31"/>
    <s v="479-15-00535"/>
    <s v=""/>
    <x v="1"/>
    <m/>
    <m/>
    <s v="674-53-00544"/>
    <x v="1"/>
    <x v="2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5-09"/>
    <s v="D-11"/>
    <s v=""/>
    <s v=""/>
    <s v=""/>
    <n v="12000"/>
    <n v="1200"/>
    <s v=""/>
    <x v="0"/>
    <m/>
  </r>
  <r>
    <s v="2026-06-30"/>
    <s v="20260630-41000022-06c9470b"/>
    <s v="2026-06-30"/>
    <s v="2026-06-30"/>
    <s v="479-15-00535"/>
    <s v=""/>
    <x v="13"/>
    <s v="이종원"/>
    <s v="경기도 화성시 문학로68번가길 10 ."/>
    <s v="872-86-03255"/>
    <x v="0"/>
    <x v="0"/>
    <s v="이 창민"/>
    <s v="경기도 평택시 청북읍 현곡 산단로 93번길89,디동"/>
    <n v="11000"/>
    <n v="10000"/>
    <n v="1000"/>
    <s v="세금계산서"/>
    <s v="일반"/>
    <s v="ASP발급"/>
    <s v=""/>
    <s v="청구"/>
    <s v="jn00535@daum.net"/>
    <s v="info@sminsight.kr"/>
    <s v=""/>
    <s v=""/>
    <s v=""/>
    <s v="2026-06-16"/>
    <s v="D-11"/>
    <s v=""/>
    <s v=""/>
    <s v=""/>
    <n v="5000"/>
    <n v="500"/>
    <s v=""/>
    <x v="1"/>
    <m/>
  </r>
  <r>
    <s v="2026-04-30"/>
    <s v="20260430-10260503-24044720"/>
    <s v="2026-05-03"/>
    <s v="2026-05-03"/>
    <s v="124-40-74497"/>
    <s v=""/>
    <x v="1"/>
    <m/>
    <m/>
    <s v="674-53-00544"/>
    <x v="1"/>
    <x v="2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6-04-30"/>
    <s v="부품가공"/>
    <s v=""/>
    <s v=""/>
    <s v=""/>
    <n v="50000"/>
    <n v="5000"/>
    <s v=""/>
    <x v="2"/>
    <m/>
  </r>
  <r>
    <s v="2026-06-30"/>
    <s v="20260630-10260710-98789527"/>
    <s v="2026-07-10"/>
    <s v="2026-07-10"/>
    <s v="410-27-40583"/>
    <s v=""/>
    <x v="1"/>
    <m/>
    <m/>
    <s v="872-86-03255"/>
    <x v="1"/>
    <x v="0"/>
    <s v="이창민"/>
    <s v="경기도 평택시 청북읍 현곡산단로93번길89"/>
    <m/>
    <m/>
    <m/>
    <s v="세금계산서"/>
    <s v="일반"/>
    <s v="인터넷발급"/>
    <s v=""/>
    <s v="청구"/>
    <s v="eld518@naver.com"/>
    <s v="info@sminsight.kr"/>
    <s v=""/>
    <s v=""/>
    <s v=""/>
    <s v="2026-06-30"/>
    <s v="SNT 가공 건"/>
    <s v="set"/>
    <s v="1"/>
    <s v="2,865,000"/>
    <n v="2865000"/>
    <n v="286500"/>
    <s v=""/>
    <x v="1"/>
    <m/>
  </r>
  <r>
    <s v="2026-06-30"/>
    <s v="20260630-10260630-81906158"/>
    <s v="2026-06-30"/>
    <s v="2026-06-30"/>
    <s v="682-86-03220"/>
    <s v=""/>
    <x v="1"/>
    <m/>
    <s v="충청남도 천안시 서북구 성거읍 봉주로 209-4"/>
    <s v="872-86-03255"/>
    <x v="1"/>
    <x v="0"/>
    <s v="이창민"/>
    <s v="경기도 평택시 청북읍 현곡산단로93번길 89,디동"/>
    <m/>
    <m/>
    <m/>
    <s v="세금계산서"/>
    <s v="일반"/>
    <s v="인터넷발급"/>
    <s v=""/>
    <s v="청구"/>
    <s v="mi7704@naver.com"/>
    <s v="info@cminsight.kr"/>
    <s v=""/>
    <s v=""/>
    <s v=""/>
    <s v="2026-06-30"/>
    <s v="반전기 "/>
    <s v=""/>
    <s v=""/>
    <s v=""/>
    <n v="36500000"/>
    <n v="3650000"/>
    <s v="중도금50%"/>
    <x v="1"/>
    <m/>
  </r>
  <r>
    <s v="2026-03-31"/>
    <s v="20260331-10260407-91168863"/>
    <s v="2026-04-07"/>
    <s v="2026-04-07"/>
    <s v="451-87-01076"/>
    <s v=""/>
    <x v="14"/>
    <s v="허토신"/>
    <s v="서울특별시 구로구 신도림로15길 21-22(신도림동)"/>
    <s v="872-86-03255"/>
    <x v="0"/>
    <x v="0"/>
    <s v="이 창  민"/>
    <s v="경기도 수원시영통구 대학4로 17.316-32호(이의동.에이스광교타워 1차)"/>
    <n v="50600000"/>
    <n v="46000000"/>
    <n v="4600000"/>
    <s v="세금계산서"/>
    <s v="일반"/>
    <s v="인터넷발급"/>
    <s v=""/>
    <s v="청구"/>
    <s v="tho687@naver.com"/>
    <s v="to.yn@telstareng.co.kr"/>
    <s v=""/>
    <s v=""/>
    <s v=""/>
    <s v="2026-03-31"/>
    <s v="부품가공"/>
    <s v=""/>
    <s v=""/>
    <s v=""/>
    <n v="46000000"/>
    <n v="4600000"/>
    <s v=""/>
    <x v="3"/>
    <m/>
  </r>
  <r>
    <s v="2026-04-30"/>
    <s v="20260430-10260508-33057964"/>
    <s v="2026-05-08"/>
    <s v="2026-05-08"/>
    <s v="451-87-01076"/>
    <s v=""/>
    <x v="14"/>
    <s v="허토신"/>
    <s v="서울특별시 구로구 신도림로15길 21-22(신도림동)"/>
    <s v="872-86-03255"/>
    <x v="0"/>
    <x v="0"/>
    <s v="이 창  민"/>
    <s v="경기도 수원시영통구 대학4로 17.316-32호(이의동.에이스광교타워 1차)"/>
    <n v="39600000"/>
    <n v="36000000"/>
    <n v="3600000"/>
    <s v="세금계산서"/>
    <s v="일반"/>
    <s v="인터넷발급"/>
    <s v=""/>
    <s v="청구"/>
    <s v="tho687@naver.com"/>
    <s v="to.yn@telstareng.co.kr"/>
    <s v=""/>
    <s v=""/>
    <s v=""/>
    <s v="2026-04-30"/>
    <s v="부품가공"/>
    <s v=""/>
    <s v=""/>
    <s v=""/>
    <n v="36000000"/>
    <n v="3600000"/>
    <s v=""/>
    <x v="2"/>
    <m/>
  </r>
  <r>
    <s v="2026-06-30"/>
    <s v="20260630-10260710-98641267"/>
    <s v="2026-07-10"/>
    <s v="2026-07-10"/>
    <s v="451-87-01076"/>
    <s v=""/>
    <x v="14"/>
    <s v="허토신"/>
    <s v="서울특별시 구로구 신도림로15길 21-22(신도림동)"/>
    <s v="872-86-03255"/>
    <x v="0"/>
    <x v="0"/>
    <s v="이 창  민"/>
    <s v="경기도 수원시영통구 대학4로 17.316-32호(이의동.에이스광교타워 1차)"/>
    <n v="38280000"/>
    <n v="34800000"/>
    <n v="3480000"/>
    <s v="세금계산서"/>
    <s v="일반"/>
    <s v="인터넷발급"/>
    <s v=""/>
    <s v="청구"/>
    <s v="tho687@naver.com"/>
    <s v="to.yn@telstareng.co.kr"/>
    <s v=""/>
    <s v=""/>
    <s v=""/>
    <s v="2026-06-30"/>
    <s v="부품가공"/>
    <s v=""/>
    <s v=""/>
    <s v=""/>
    <n v="23000000"/>
    <n v="2300000"/>
    <s v=""/>
    <x v="1"/>
    <m/>
  </r>
  <r>
    <s v="2026-06-30"/>
    <s v="20260630-10260630-80913908"/>
    <s v="2026-06-30"/>
    <s v="2026-06-30"/>
    <s v="471-87-01314"/>
    <s v=""/>
    <x v="1"/>
    <m/>
    <s v="경상남도 양산시 유산공단8길 83-3(유산동)"/>
    <s v="872-86-03255"/>
    <x v="1"/>
    <x v="0"/>
    <s v="이창민"/>
    <s v="경기도 평택시 청북읍 현곡산단로93번길 89(디동)"/>
    <m/>
    <m/>
    <m/>
    <s v="세금계산서"/>
    <s v="일반"/>
    <s v="인터넷발급"/>
    <s v=""/>
    <s v="청구"/>
    <s v="tax@cmt2015.co.kr"/>
    <s v="info@cminsight.kr"/>
    <s v=""/>
    <s v=""/>
    <s v=""/>
    <s v="2026-06-30"/>
    <s v="BIO)DHA_OIL 발효 부재료 로봇 개포 시스템"/>
    <s v="중도금 50%"/>
    <s v="1"/>
    <s v="100,000,000"/>
    <n v="100000000"/>
    <n v="10000000"/>
    <s v=""/>
    <x v="1"/>
    <m/>
  </r>
  <r>
    <s v="2026-05-07"/>
    <s v="20260507-10260507-31303535"/>
    <s v="2026-05-07"/>
    <s v="2026-05-07"/>
    <s v="134-87-32562"/>
    <s v=""/>
    <x v="15"/>
    <s v="이성민"/>
    <s v="경기도 시흥시 공단1대로28번길 74(정왕동, 시화공단1라103호)"/>
    <s v="872-86-03255"/>
    <x v="0"/>
    <x v="0"/>
    <s v="이창민"/>
    <s v="경기도 평택시 청북읍 현곡산단로93번길 89, 디동"/>
    <n v="3916000"/>
    <n v="3560000"/>
    <n v="356000"/>
    <s v="세금계산서"/>
    <s v="일반"/>
    <s v="인터넷발급"/>
    <s v="기업은행 326-103131-01-013 주)영광하이텍"/>
    <s v="청구"/>
    <s v="01025143487@hanmail.net"/>
    <s v="info@cminsight.kr"/>
    <s v=""/>
    <s v=""/>
    <s v=""/>
    <s v="2026-05-07"/>
    <s v="TA20250604-001006FA-001 외"/>
    <s v=""/>
    <s v=""/>
    <s v=""/>
    <n v="3560000"/>
    <n v="356000"/>
    <s v=""/>
    <x v="0"/>
    <m/>
  </r>
  <r>
    <s v="2026-05-07"/>
    <s v="20260507-10260507-31303535"/>
    <s v="2026-05-07"/>
    <s v="2026-05-07"/>
    <s v="134-87-32562"/>
    <s v=""/>
    <x v="15"/>
    <s v="이성민"/>
    <s v="경기도 시흥시 공단1대로28번길 74(정왕동, 시화공단1라103호)"/>
    <s v="872-86-03255"/>
    <x v="0"/>
    <x v="0"/>
    <s v="이창민"/>
    <s v="경기도 평택시 청북읍 현곡산단로93번길 89, 디동"/>
    <n v="3916000"/>
    <n v="3560000"/>
    <n v="356000"/>
    <s v="세금계산서"/>
    <s v="일반"/>
    <s v="인터넷발급"/>
    <s v="기업은행 326-103131-01-013 주)영광하이텍"/>
    <s v="청구"/>
    <s v="01025143487@hanmail.net"/>
    <s v="info@cminsight.kr"/>
    <s v=""/>
    <s v=""/>
    <s v=""/>
    <s v="2026-05-07"/>
    <s v="TA20250604-001006FA-001 외"/>
    <s v=""/>
    <s v=""/>
    <s v=""/>
    <n v="3560000"/>
    <n v="356000"/>
    <s v=""/>
    <x v="0"/>
    <m/>
  </r>
  <r>
    <s v="2026-06-30"/>
    <s v="20260630-10260701-84589463"/>
    <s v="2026-07-01"/>
    <s v="2026-07-01"/>
    <s v="350-86-01010"/>
    <s v=""/>
    <x v="1"/>
    <m/>
    <s v="경기도 화성시 효행구 봉담읍 와우로34번길 63, 103동 1304호(신명아파트)"/>
    <s v="872-86-03255"/>
    <x v="1"/>
    <x v="0"/>
    <s v="이창민"/>
    <s v="경기도 평택시 청북읍 현곡산단로93번길89,디동"/>
    <m/>
    <m/>
    <m/>
    <s v="세금계산서"/>
    <s v="일반"/>
    <s v="인터넷발급"/>
    <s v=""/>
    <s v="청구"/>
    <s v="0924tk@naver.com"/>
    <s v="info@cminsight.kr"/>
    <s v=""/>
    <s v=""/>
    <s v=""/>
    <s v="2026-06-30"/>
    <s v="6월분식대"/>
    <s v=""/>
    <s v="82"/>
    <s v="7,000"/>
    <n v="574000"/>
    <n v="57400"/>
    <s v=""/>
    <x v="1"/>
    <m/>
  </r>
  <r>
    <s v="2026-06-08"/>
    <s v="20260608-41000008-0009ycra"/>
    <s v="2026-06-08"/>
    <s v="2026-06-08"/>
    <s v="131-81-89633"/>
    <s v=""/>
    <x v="16"/>
    <s v="우제훈"/>
    <s v="경기 시흥시 마유로92번길 51  (정왕동, 시화공단3마208)"/>
    <s v="872-86-03255"/>
    <x v="0"/>
    <x v="0"/>
    <s v="이창민"/>
    <s v="경기도 수원시 영통구 대학4로 17, 316-32호(이의동, 에이스광교타워1차)"/>
    <n v="748000"/>
    <n v="680000"/>
    <n v="68000"/>
    <s v="세금계산서"/>
    <s v="일반"/>
    <s v="ASP발급"/>
    <s v=""/>
    <s v="청구"/>
    <s v="wjhoon365@daum.net"/>
    <s v="info@cminsioht.kr"/>
    <s v=""/>
    <s v=""/>
    <s v=""/>
    <s v="2026-06-08"/>
    <s v="SPRING NUT"/>
    <s v=""/>
    <s v=""/>
    <s v="0"/>
    <n v="680000"/>
    <n v="68000"/>
    <s v=""/>
    <x v="1"/>
    <m/>
  </r>
  <r>
    <s v="2026-04-30"/>
    <s v="20260430-10260507-31329468"/>
    <s v="2026-05-07"/>
    <s v="2026-05-07"/>
    <s v="880-81-02437"/>
    <s v=""/>
    <x v="17"/>
    <s v="김경미"/>
    <s v="경상북도 경주시 외동읍 문산공단길 226-48"/>
    <s v="872-86-03255"/>
    <x v="4"/>
    <x v="0"/>
    <s v="이창민"/>
    <s v="경기도 평택시 청북면 현곡산단로93번길 89"/>
    <n v="64350000"/>
    <n v="58500000"/>
    <n v="5850000"/>
    <s v="세금계산서"/>
    <s v="일반"/>
    <s v="인터넷발급"/>
    <s v=""/>
    <s v="청구"/>
    <s v="jseng901@nate.com"/>
    <s v="to.yn@telstareng.co.kr"/>
    <s v=""/>
    <s v=""/>
    <s v=""/>
    <s v="2026-04-30"/>
    <s v="상용리어액슬 프레임 제작"/>
    <s v="식"/>
    <s v="1"/>
    <s v="58,500,000"/>
    <n v="58500000"/>
    <n v="5850000"/>
    <s v=""/>
    <x v="2"/>
    <m/>
  </r>
  <r>
    <s v="2026-04-30"/>
    <s v="20260430-10260507-31324093"/>
    <s v="2026-05-07"/>
    <s v="2026-05-07"/>
    <s v="880-81-02437"/>
    <s v=""/>
    <x v="17"/>
    <s v="김경미"/>
    <s v="경상북도 경주시 외동읍 문산공단길 226-48"/>
    <s v="872-86-03255"/>
    <x v="4"/>
    <x v="0"/>
    <s v="이창민"/>
    <s v="경기도 평택시 청북면 현곡산단로93번길 89"/>
    <n v="1650000"/>
    <n v="1500000"/>
    <n v="150000"/>
    <s v="세금계산서"/>
    <s v="일반"/>
    <s v="인터넷발급"/>
    <s v=""/>
    <s v="청구"/>
    <s v="jseng901@nate.com"/>
    <s v="to.yn@telstareng.co.kr"/>
    <s v=""/>
    <s v=""/>
    <s v=""/>
    <s v="2026-04-30"/>
    <s v="창원 리어엑슬"/>
    <s v="식"/>
    <s v="1"/>
    <s v="1,500,000"/>
    <n v="1500000"/>
    <n v="150000"/>
    <s v=""/>
    <x v="2"/>
    <m/>
  </r>
  <r>
    <s v="2026-05-31"/>
    <s v="20260531-10260609-63952523"/>
    <s v="2026-06-09"/>
    <s v="2026-06-09"/>
    <s v="880-81-02437"/>
    <s v=""/>
    <x v="17"/>
    <s v="김경미"/>
    <s v="경상북도 경주시 외동읍 문산공단길 226-48"/>
    <s v="872-86-03255"/>
    <x v="4"/>
    <x v="0"/>
    <s v="이창민"/>
    <s v="경기도 평택시 청북면 현곡산단로93번길 89"/>
    <n v="2277000"/>
    <n v="2070000"/>
    <n v="207000"/>
    <s v="세금계산서"/>
    <s v="일반"/>
    <s v="인터넷발급"/>
    <s v=""/>
    <s v="청구"/>
    <s v="jseng901@nate.com"/>
    <s v="to.yn@telstareng.co.kr"/>
    <s v=""/>
    <s v=""/>
    <s v=""/>
    <s v="2026-05-31"/>
    <s v="전주 SNT"/>
    <s v="식"/>
    <s v="1"/>
    <s v="2,070,000"/>
    <n v="2070000"/>
    <n v="207000"/>
    <s v=""/>
    <x v="0"/>
    <m/>
  </r>
  <r>
    <s v="2026-06-16"/>
    <s v="20260616-41000096-40881728"/>
    <s v="2026-06-16"/>
    <s v="2026-06-16"/>
    <s v="135-86-08035"/>
    <s v=""/>
    <x v="1"/>
    <m/>
    <m/>
    <s v="872-86-03255"/>
    <x v="1"/>
    <x v="0"/>
    <s v="이창민"/>
    <s v="경기 평택시 청북읍 현곡산단로93번길 89,디동"/>
    <m/>
    <m/>
    <m/>
    <s v="세금계산서"/>
    <s v="일반"/>
    <s v="ASP발급"/>
    <s v="20260210-01 공급가액 :  400,000,000_x000a_ 20260210-01 공급가액 :  400,000,000"/>
    <s v="청구"/>
    <s v="bigsky1234@bigsky.co.kr"/>
    <s v="info@cminsight.kr"/>
    <s v=""/>
    <s v=""/>
    <s v=""/>
    <s v="2026-06-16"/>
    <s v="액슬샤프트 가공라인 M/C 신작 제작 중도금60%"/>
    <s v=""/>
    <s v="1"/>
    <s v="240,000,000"/>
    <n v="240000000"/>
    <n v="24000000"/>
    <s v=""/>
    <x v="1"/>
    <m/>
  </r>
  <r>
    <s v="2026-06-30"/>
    <s v="20260630-10260701-85718272"/>
    <s v="2026-07-01"/>
    <s v="2026-07-01"/>
    <s v="827-14-02720"/>
    <s v=""/>
    <x v="1"/>
    <m/>
    <s v="충청남도 천안시 서북구 두정중5길 33, 105동 503호(두정동, 주공아파트)"/>
    <s v="872-86-03255"/>
    <x v="1"/>
    <x v="0"/>
    <s v="이창민"/>
    <s v="경기도 평택시 청북읍 현곡산단로93번길 89,다동"/>
    <m/>
    <m/>
    <m/>
    <s v="세금계산서"/>
    <s v="일반"/>
    <s v="인터넷발급"/>
    <s v=""/>
    <s v="청구"/>
    <s v="a01092372132@gmail.com"/>
    <s v="info@cminsight.kr"/>
    <s v=""/>
    <s v=""/>
    <s v=""/>
    <s v="2026-06-30"/>
    <s v="현대자동차 파워 모듈라인 셋업"/>
    <s v="국내 기구 인건비"/>
    <s v="1"/>
    <s v="24,081,000"/>
    <n v="24081000"/>
    <n v="2408100"/>
    <s v=""/>
    <x v="1"/>
    <m/>
  </r>
  <r>
    <s v="2026-06-30"/>
    <s v="20260630-10260630-82683516"/>
    <s v="2026-06-30"/>
    <s v="2026-06-30"/>
    <s v="124-03-35145"/>
    <s v=""/>
    <x v="1"/>
    <m/>
    <s v="경기도 평택시 세교산단로 18, 204호(세교동)"/>
    <s v="872-86-03255"/>
    <x v="1"/>
    <x v="0"/>
    <s v="이창민"/>
    <s v="경기도 평택시 청북읍 현곡산단로93번길 89, 디동"/>
    <m/>
    <m/>
    <m/>
    <s v="세금계산서"/>
    <s v="일반"/>
    <s v="인터넷발급"/>
    <s v="농협 207157-56-013522 서동석"/>
    <s v="청구"/>
    <s v="pal7134@daum.net"/>
    <s v="info@cminsight.kr"/>
    <s v=""/>
    <s v=""/>
    <s v=""/>
    <s v="2026-06-30"/>
    <s v="지게차사용료"/>
    <s v=""/>
    <s v="2"/>
    <s v="70,000"/>
    <n v="140000"/>
    <n v="14000"/>
    <s v=""/>
    <x v="1"/>
    <m/>
  </r>
  <r>
    <s v="2026-06-30"/>
    <s v="20260630-10260630-82496621"/>
    <s v="2026-06-30"/>
    <s v="2026-06-30"/>
    <s v="125-18-84487"/>
    <s v=""/>
    <x v="1"/>
    <m/>
    <s v="경기도 평택시 청북읍 청원로 396"/>
    <s v="872-86-03255"/>
    <x v="1"/>
    <x v="0"/>
    <s v="이창민"/>
    <s v="경기도 수원시 영통구 대학4로 17(이의동)"/>
    <m/>
    <m/>
    <m/>
    <s v="세금계산서"/>
    <s v="일반"/>
    <s v="인터넷발급"/>
    <s v=""/>
    <s v="청구"/>
    <s v="ap6721@naver.com"/>
    <s v="cmi72@cminsight.kr"/>
    <s v=""/>
    <s v=""/>
    <s v=""/>
    <s v="2026-06-30"/>
    <s v="사무용품외"/>
    <s v=""/>
    <s v=""/>
    <s v=""/>
    <n v="490727"/>
    <n v="49073"/>
    <s v=""/>
    <x v="1"/>
    <m/>
  </r>
  <r>
    <s v="2026-06-19"/>
    <s v="20260619-10260619-73650859"/>
    <s v="2026-06-19"/>
    <s v="2026-06-19"/>
    <s v="125-18-84487"/>
    <s v=""/>
    <x v="1"/>
    <m/>
    <s v="경기도 평택시 청북읍 청원로 396"/>
    <s v="872-86-03255"/>
    <x v="1"/>
    <x v="0"/>
    <s v="이창민"/>
    <s v="경기도 수원시 영통구 대학4로 17(이의동)"/>
    <m/>
    <m/>
    <m/>
    <s v="수정세금계산서"/>
    <s v="일반(수정)"/>
    <s v="인터넷발급"/>
    <s v="당초 승인번호 (20260619-10260619-73598491)"/>
    <s v="청구"/>
    <s v="ap6721@naver.com"/>
    <s v="cmi72@cminsight.kr"/>
    <s v=""/>
    <s v=""/>
    <s v=""/>
    <s v="2026-06-19"/>
    <s v="명함제작"/>
    <s v=""/>
    <s v=""/>
    <s v=""/>
    <n v="-212727"/>
    <n v="-21273"/>
    <s v=""/>
    <x v="1"/>
    <m/>
  </r>
  <r>
    <s v="2026-06-19"/>
    <s v="20260619-10260619-73598491"/>
    <s v="2026-06-19"/>
    <s v="2026-06-19"/>
    <s v="125-18-84487"/>
    <s v=""/>
    <x v="1"/>
    <m/>
    <s v="경기도 평택시 청북읍 청원로 396"/>
    <s v="872-86-03255"/>
    <x v="1"/>
    <x v="0"/>
    <s v="이창민"/>
    <s v="경기도 수원시 영통구 대학4로 17(이의동)"/>
    <m/>
    <m/>
    <m/>
    <s v="세금계산서"/>
    <s v="일반"/>
    <s v="인터넷발급"/>
    <s v=""/>
    <s v="청구"/>
    <s v="ap6721@naver.com"/>
    <s v="cmi72@cminsight.kr"/>
    <s v=""/>
    <s v=""/>
    <s v=""/>
    <s v="2026-06-19"/>
    <s v="명함제작"/>
    <s v=""/>
    <s v=""/>
    <s v=""/>
    <n v="212727"/>
    <n v="21273"/>
    <s v=""/>
    <x v="1"/>
    <m/>
  </r>
  <r>
    <s v="2026-06-30"/>
    <s v="20260630-10260710-10371340"/>
    <s v="2026-07-10"/>
    <s v="2026-07-10"/>
    <s v="125-14-29768"/>
    <s v=""/>
    <x v="1"/>
    <m/>
    <s v="경기도 평택시 청북읍 청북새싹길 3((1층))"/>
    <s v="872-86-03255"/>
    <x v="1"/>
    <x v="0"/>
    <s v="이창민"/>
    <s v="수원시 영통구 대학4로17,316-32호(이의동,에이스광교)"/>
    <m/>
    <m/>
    <m/>
    <s v="세금계산서"/>
    <s v="일반"/>
    <s v="인터넷발급"/>
    <s v=""/>
    <s v="청구"/>
    <s v="hkbj5212@daum.net"/>
    <s v="cmi72@cminsight.kr"/>
    <s v=""/>
    <s v=""/>
    <s v=""/>
    <s v="2026-06-30"/>
    <s v="식대"/>
    <s v=""/>
    <s v=""/>
    <s v=""/>
    <n v="736000"/>
    <n v="73600"/>
    <s v=""/>
    <x v="1"/>
    <m/>
  </r>
  <r>
    <m/>
    <m/>
    <m/>
    <m/>
    <m/>
    <s v=""/>
    <x v="1"/>
    <m/>
    <s v="울산광역시 중구 병영성4길 29, 101동 110호(남외동, 삼익세라믹아파트)"/>
    <s v="872-86-03255"/>
    <x v="1"/>
    <x v="0"/>
    <s v="이창민"/>
    <s v="경기도 수원시 영통구 대학4로 17,316-32호"/>
    <m/>
    <m/>
    <m/>
    <s v="세금계산서"/>
    <s v="일반"/>
    <s v="인터넷발급"/>
    <s v=""/>
    <s v="청구"/>
    <s v="kimss0056@naver.com"/>
    <s v="to.yn@telstareng.co.kr"/>
    <s v=""/>
    <s v=""/>
    <s v=""/>
    <s v="2025-09-22"/>
    <s v="FR REAR Axle 조립 1라인 HEV 개조 중도금 50%"/>
    <s v="식"/>
    <s v="1"/>
    <s v="214,500,000"/>
    <n v="214500000"/>
    <n v="21450000"/>
    <s v=""/>
    <x v="4"/>
    <m/>
  </r>
  <r>
    <m/>
    <m/>
    <m/>
    <m/>
    <m/>
    <s v=""/>
    <x v="1"/>
    <m/>
    <s v="울산광역시 중구 병영성4길 29, 101동 110호(남외동, 삼익세라믹아파트)"/>
    <s v="872-86-03255"/>
    <x v="0"/>
    <x v="0"/>
    <s v="이창민"/>
    <s v="경기도 수원시 영통구 대학4로 17,316-32호"/>
    <m/>
    <m/>
    <m/>
    <s v="수정세금계산서"/>
    <s v="일반(수정)"/>
    <s v="인터넷발급"/>
    <s v="당초 작성일자 (20250922), 당초 승인번호 (20250922-10250922-76390161)"/>
    <s v="청구"/>
    <s v="kimss0056@naver.com"/>
    <s v="to.yn@telstareng.co.kr"/>
    <s v=""/>
    <s v=""/>
    <s v=""/>
    <s v="2025-09-22"/>
    <s v="FR REAR Axle 조립 1라인 HEV 개조 중도금 50%"/>
    <s v="식"/>
    <s v="1"/>
    <s v="-193,050,000"/>
    <n v="-193050000"/>
    <n v="-19305000"/>
    <s v=""/>
    <x v="4"/>
    <m/>
  </r>
  <r>
    <m/>
    <m/>
    <m/>
    <m/>
    <m/>
    <s v=""/>
    <x v="1"/>
    <m/>
    <s v="울산광역시 중구 병영성4길 29, 101동 110호(남외동, 삼익세라믹아파트)"/>
    <s v="872-86-03255"/>
    <x v="0"/>
    <x v="0"/>
    <s v="이창민"/>
    <s v="경기도 수원시 영통구 대학4로 17,316-32호"/>
    <m/>
    <m/>
    <m/>
    <s v="수정세금계산서"/>
    <s v="일반(수정)"/>
    <s v="인터넷발급"/>
    <s v="당초 작성일자 (20250922), 당초 승인번호 (20250922-10250922-76390161)"/>
    <s v="청구"/>
    <s v="kimss0056@naver.com"/>
    <s v="to.yn@telstareng.co.kr"/>
    <s v=""/>
    <s v=""/>
    <s v=""/>
    <s v="2025-10-10"/>
    <s v="FR REAR Axle 조립 1라인 HEV 개조 중도금 50%"/>
    <s v="식"/>
    <s v="1"/>
    <s v="-193,050,000"/>
    <n v="-193050000"/>
    <n v="-19305000"/>
    <s v=""/>
    <x v="4"/>
    <m/>
  </r>
  <r>
    <m/>
    <m/>
    <m/>
    <m/>
    <m/>
    <s v=""/>
    <x v="1"/>
    <m/>
    <s v="울산광역시 중구 병영성4길 29, 101동 110호(남외동, 삼익세라믹아파트)"/>
    <s v="872-86-03255"/>
    <x v="0"/>
    <x v="0"/>
    <s v="이창민"/>
    <s v="경기도 수원시 영통구 대학4로 17,316-32호"/>
    <m/>
    <m/>
    <m/>
    <s v="수정세금계산서"/>
    <s v="일반(수정)"/>
    <s v="인터넷발급"/>
    <s v="당초 작성일자 (20251010), 당초 승인번호 (20251010-10251010-94374910)"/>
    <s v="청구"/>
    <s v="kimss0056@naver.com"/>
    <s v="to.yn@telstareng.co.kr"/>
    <s v=""/>
    <s v=""/>
    <s v=""/>
    <s v="2025-10-10"/>
    <s v="FR REAR Axle 조립 1라인 HEV 개조 중도금 50%"/>
    <s v="식"/>
    <s v="1"/>
    <s v="193,050,000"/>
    <n v="193050000"/>
    <n v="19305000"/>
    <s v=""/>
    <x v="4"/>
    <m/>
  </r>
  <r>
    <m/>
    <m/>
    <m/>
    <m/>
    <m/>
    <s v=""/>
    <x v="1"/>
    <m/>
    <s v="경기도 화성시 팔탄면 시청로 934-3, 제비동 214호(우리들유통타운)"/>
    <s v="872-86-03255"/>
    <x v="0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1-15"/>
    <s v="AIR GAGE HEAD"/>
    <s v="3.626"/>
    <s v="2"/>
    <s v="320,000"/>
    <n v="640000"/>
    <n v="64000"/>
    <s v=""/>
    <x v="4"/>
    <m/>
  </r>
  <r>
    <m/>
    <m/>
    <m/>
    <m/>
    <m/>
    <s v=""/>
    <x v="1"/>
    <m/>
    <s v="경기도 안양시 만안구 덕천로 152번길 25, 안양아이에스비즈타워센트럴 제25층_x000a_A 2501호 ~ 2507호 (안양동)"/>
    <s v="872-86-03255"/>
    <x v="0"/>
    <x v="0"/>
    <s v="이창민"/>
    <s v="경기도 수원시 영통구 대학4로 17, 316-32호(이의동, 에이스광교타워1차)"/>
    <m/>
    <m/>
    <m/>
    <s v="세금계산서"/>
    <s v="일반"/>
    <s v="ASP발급"/>
    <s v=""/>
    <s v="청구"/>
    <s v=""/>
    <s v="info@cminsight.kr"/>
    <s v=""/>
    <s v=""/>
    <s v=""/>
    <s v="2026-01-31"/>
    <s v="acA2500-14gc_MIS"/>
    <s v="Camera"/>
    <s v="1"/>
    <s v="660,000"/>
    <n v="660000"/>
    <n v="66000"/>
    <s v=""/>
    <x v="4"/>
    <m/>
  </r>
  <r>
    <m/>
    <m/>
    <m/>
    <m/>
    <m/>
    <s v=""/>
    <x v="1"/>
    <m/>
    <s v="대구광역시 동구 안심로49길 103, A동 1101호(서호동, 디오하이넷시티)"/>
    <s v="872-86-03255"/>
    <x v="0"/>
    <x v="0"/>
    <s v="이창민"/>
    <s v="경기도 수원시 영통구 대학4로 17(이의동), 316-32gh"/>
    <m/>
    <m/>
    <m/>
    <s v="세금계산서"/>
    <s v="일반"/>
    <s v="인터넷발급"/>
    <s v=""/>
    <s v="청구"/>
    <s v="js@jstech4u.com"/>
    <s v="info@cminsight.kr"/>
    <s v=""/>
    <s v=""/>
    <s v=""/>
    <s v="2026-01-31"/>
    <s v="Brake Retainer InOut SnapRing Auto Gage - GK인더스트리"/>
    <s v="식"/>
    <s v="1"/>
    <s v="5,000,000"/>
    <n v="5000000"/>
    <n v="500000"/>
    <s v=""/>
    <x v="4"/>
    <m/>
  </r>
  <r>
    <m/>
    <m/>
    <m/>
    <m/>
    <m/>
    <s v=""/>
    <x v="1"/>
    <m/>
    <s v="경기도 화성시 만세구 팔탄면 온천로137번길 20-27"/>
    <s v="872-86-03255"/>
    <x v="0"/>
    <x v="0"/>
    <s v="이창민"/>
    <s v="경기도수원시영통구대학4로17,316-32호"/>
    <m/>
    <m/>
    <m/>
    <s v="세금계산서"/>
    <s v="일반"/>
    <s v="인터넷발급"/>
    <s v=""/>
    <s v="청구"/>
    <s v="lawire@naver.com"/>
    <s v="info@cminsight.kr"/>
    <s v=""/>
    <s v=""/>
    <s v=""/>
    <s v="2026-02-02"/>
    <s v="와이어"/>
    <s v=""/>
    <s v=""/>
    <s v=""/>
    <n v="120000"/>
    <n v="12000"/>
    <s v=""/>
    <x v="4"/>
    <m/>
  </r>
  <r>
    <m/>
    <m/>
    <m/>
    <m/>
    <m/>
    <s v=""/>
    <x v="1"/>
    <m/>
    <s v="충청남도 천안시 서북구 성환읍 왕지1길 151-1"/>
    <s v="872-86-03255"/>
    <x v="0"/>
    <x v="0"/>
    <s v="이창민"/>
    <s v="경기도 수원시 영통구 대학4로 17, 316-32호(이의동, 에이스광교타워 1차)"/>
    <m/>
    <m/>
    <m/>
    <s v="세금계산서"/>
    <s v="일반"/>
    <s v="인터넷발급"/>
    <s v=""/>
    <s v="청구"/>
    <s v="sjjang@mcvision.co.kr"/>
    <s v="info@cminsight.kr"/>
    <s v=""/>
    <s v=""/>
    <s v=""/>
    <s v="2026-02-24"/>
    <s v="반도체 소켓 핀 검사 모듈"/>
    <s v="set"/>
    <s v="1"/>
    <s v="5,500,000"/>
    <n v="5500000"/>
    <n v="550000"/>
    <s v="계약금 50%"/>
    <x v="4"/>
    <m/>
  </r>
  <r>
    <m/>
    <m/>
    <m/>
    <m/>
    <m/>
    <s v=""/>
    <x v="1"/>
    <m/>
    <s v="경기도 성남시 중원구 갈마치로288번길 57(상대원동)"/>
    <s v="872-86-03255"/>
    <x v="0"/>
    <x v="0"/>
    <s v="이창민"/>
    <s v="경기 수원시 영통구 대학4로 17 316-32호(이의동,에이스광교타워1차)"/>
    <m/>
    <m/>
    <m/>
    <s v="세금계산서"/>
    <s v="일반"/>
    <s v="ASP발급"/>
    <s v=""/>
    <s v="청구"/>
    <s v=""/>
    <s v="info@cminsight.kr"/>
    <s v=""/>
    <s v=""/>
    <s v=""/>
    <s v="2026-02-27"/>
    <s v="마스터셋트"/>
    <s v=""/>
    <s v=""/>
    <s v=""/>
    <n v="1800000"/>
    <n v="180000"/>
    <s v=""/>
    <x v="4"/>
    <m/>
  </r>
  <r>
    <m/>
    <m/>
    <m/>
    <m/>
    <m/>
    <s v=""/>
    <x v="1"/>
    <m/>
    <s v="경상북도 경주시 외동읍 문산2산단2로 71"/>
    <s v="872-86-03255"/>
    <x v="0"/>
    <x v="0"/>
    <s v="이창민"/>
    <s v="경기도 평택시 청북면 현곡산단로 93번길 89"/>
    <m/>
    <m/>
    <m/>
    <s v="수정세금계산서"/>
    <s v="일반(수정)"/>
    <s v="인터넷발급"/>
    <s v="당초 승인번호 (20260228-10260309-63543382)"/>
    <s v="청구"/>
    <s v="jseng901@nate.com"/>
    <s v="to.yn@telstareng.co.kr"/>
    <s v=""/>
    <s v=""/>
    <s v=""/>
    <s v="2026-02-28"/>
    <s v="안산 세플러 포스트"/>
    <s v="식"/>
    <s v="1"/>
    <s v="850,000"/>
    <n v="850000"/>
    <n v="85000"/>
    <s v=""/>
    <x v="4"/>
    <m/>
  </r>
  <r>
    <m/>
    <m/>
    <m/>
    <m/>
    <m/>
    <s v=""/>
    <x v="1"/>
    <m/>
    <s v="경기도 화성시 만세구 팔탄면 시청로 934-3, 제비동 214호(우리들유통타운)"/>
    <s v="872-86-03255"/>
    <x v="0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3-26"/>
    <s v="SHAFT R/O MEASURING UNIT(엠프로텍)"/>
    <s v=""/>
    <s v="1"/>
    <s v="628,000"/>
    <n v="628000"/>
    <n v="62800"/>
    <s v=""/>
    <x v="4"/>
    <m/>
  </r>
  <r>
    <m/>
    <m/>
    <m/>
    <m/>
    <m/>
    <s v=""/>
    <x v="1"/>
    <m/>
    <s v="경기도 화성시 만세구 팔탄면 시청로 934-3, 제비동 214호(우리들유통타운)"/>
    <s v="872-86-03255"/>
    <x v="0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3-26"/>
    <s v="AIR GAGE HEAD /2EA(동도대구)"/>
    <s v=""/>
    <s v="1"/>
    <s v="698,000"/>
    <n v="698000"/>
    <n v="69800"/>
    <s v=""/>
    <x v="4"/>
    <m/>
  </r>
  <r>
    <m/>
    <m/>
    <m/>
    <m/>
    <m/>
    <s v=""/>
    <x v="1"/>
    <m/>
    <s v="서울특별시 구로구 부광로 96-5,         구로에이스캠프 511호"/>
    <s v="872-86-03255"/>
    <x v="0"/>
    <x v="0"/>
    <s v="이창민"/>
    <s v="경기도 평택시 청북읍 현곡산단로93번길 89, 다동"/>
    <m/>
    <m/>
    <m/>
    <s v="세금계산서"/>
    <s v="일반"/>
    <s v="ASP발급"/>
    <s v=""/>
    <s v="청구"/>
    <s v="dsmc4455@naver.com"/>
    <s v="info@cminsight.kr"/>
    <s v=""/>
    <s v=""/>
    <s v=""/>
    <s v="2026-03-31"/>
    <s v="SPROCKET #2062-2*13TC(100*60L)"/>
    <s v=""/>
    <s v="20"/>
    <s v="83,000"/>
    <n v="1660000"/>
    <n v="166000"/>
    <s v=""/>
    <x v="4"/>
    <m/>
  </r>
  <r>
    <m/>
    <m/>
    <m/>
    <m/>
    <m/>
    <s v=""/>
    <x v="1"/>
    <m/>
    <s v="서울특별시 영등포구 경인로77길 52(문래동4가)"/>
    <s v="872-86-03255"/>
    <x v="0"/>
    <x v="0"/>
    <s v="이창민"/>
    <s v="경기도 평택시 청북읍 현곡산단로 93번길 89 , 디동 "/>
    <m/>
    <m/>
    <m/>
    <s v="세금계산서"/>
    <s v="일반"/>
    <s v="인터넷발급"/>
    <s v="기업- 141 040315 04 012 "/>
    <s v="청구"/>
    <s v="hsk3469@naver.com"/>
    <s v="info@cminsight.kr"/>
    <s v=""/>
    <s v=""/>
    <s v=""/>
    <s v="2026-03-31"/>
    <s v="샤프트외 "/>
    <s v=""/>
    <s v=""/>
    <s v=""/>
    <n v="3850000"/>
    <n v="385000"/>
    <s v=""/>
    <x v="4"/>
    <m/>
  </r>
  <r>
    <m/>
    <m/>
    <m/>
    <m/>
    <m/>
    <s v=""/>
    <x v="1"/>
    <m/>
    <s v="경상북도 경주시 외동읍 문산공단길 226-48"/>
    <s v="872-86-03255"/>
    <x v="0"/>
    <x v="0"/>
    <s v="이창민"/>
    <s v="경기도 평택시 청북면 현곡산단로93번길 89"/>
    <m/>
    <m/>
    <m/>
    <s v="세금계산서"/>
    <s v="일반"/>
    <s v="인터넷발급"/>
    <s v=""/>
    <s v="청구"/>
    <s v="jseng901@nate.com"/>
    <s v="to.yn@telstareng.co.kr"/>
    <s v=""/>
    <s v=""/>
    <s v=""/>
    <s v="2026-03-31"/>
    <s v="안산셰플러, 창원 리어엑슬"/>
    <s v="식"/>
    <s v="1"/>
    <s v="1,000,000"/>
    <n v="1000000"/>
    <n v="100000"/>
    <s v=""/>
    <x v="4"/>
    <m/>
  </r>
  <r>
    <m/>
    <m/>
    <m/>
    <m/>
    <m/>
    <s v=""/>
    <x v="1"/>
    <m/>
    <s v="경기도 화성시 팔탄면 서해로987번길 5 발안공구상가 1-101"/>
    <s v="872-86-03255"/>
    <x v="0"/>
    <x v="0"/>
    <s v="이창민"/>
    <s v=". 경기도 평택시 청북읍 현곡산단로93번길 89 디동"/>
    <m/>
    <m/>
    <m/>
    <s v="세금계산서"/>
    <s v="일반"/>
    <s v="ASP발급"/>
    <s v=""/>
    <s v="청구"/>
    <s v=""/>
    <s v="info@cminsight.kr"/>
    <s v=""/>
    <s v=""/>
    <s v=""/>
    <s v="2026-03-31"/>
    <s v="베아링 외"/>
    <s v=""/>
    <s v=""/>
    <s v=""/>
    <n v="1324200"/>
    <n v="132420"/>
    <s v=""/>
    <x v="4"/>
    <m/>
  </r>
  <r>
    <m/>
    <m/>
    <m/>
    <m/>
    <m/>
    <s v=""/>
    <x v="1"/>
    <m/>
    <s v="경기도 화성시 향남읍 발안공단로 4길 114 A동"/>
    <s v="872-86-03255"/>
    <x v="0"/>
    <x v="0"/>
    <s v="이창민"/>
    <s v="경기도 수원시영통구 대학4로 17 (이의동, 에이스광교타워1차) 316-32호 "/>
    <m/>
    <m/>
    <m/>
    <s v="세금계산서"/>
    <s v="일반"/>
    <s v="ASP발급"/>
    <s v=""/>
    <s v="청구"/>
    <s v="hys4468@naver.com"/>
    <s v="info@cminsioht.kr"/>
    <s v=""/>
    <s v=""/>
    <s v=""/>
    <s v="2026-03-31"/>
    <s v="도금대"/>
    <s v=""/>
    <s v="0"/>
    <s v="0"/>
    <n v="2211000"/>
    <n v="221100"/>
    <s v=""/>
    <x v="4"/>
    <m/>
  </r>
  <r>
    <m/>
    <m/>
    <m/>
    <m/>
    <m/>
    <s v=""/>
    <x v="1"/>
    <m/>
    <s v="경기도 화성시 만세구 팔탄면 시청로 934-3, 제비동 214호(우리들유통타운)"/>
    <s v="872-86-03255"/>
    <x v="0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4-08"/>
    <s v="CENTERING HOLDER &amp; ADAPTOR"/>
    <s v="나린테크"/>
    <s v="1"/>
    <s v="3,900,000"/>
    <n v="3900000"/>
    <n v="390000"/>
    <s v=""/>
    <x v="4"/>
    <m/>
  </r>
  <r>
    <m/>
    <m/>
    <m/>
    <m/>
    <m/>
    <s v=""/>
    <x v="1"/>
    <m/>
    <s v="충청남도 천안시 서북구 직산읍 부송로 165-23"/>
    <s v="872-86-03255"/>
    <x v="0"/>
    <x v="0"/>
    <s v="이창민"/>
    <s v="경기도 평택시 청북읍 현곡산단로93번길89"/>
    <m/>
    <m/>
    <m/>
    <s v="세금계산서"/>
    <s v="일반"/>
    <s v="인터넷발급"/>
    <s v=""/>
    <s v="청구"/>
    <s v="eld518@naver.com"/>
    <s v="info@sminsight.kr"/>
    <s v=""/>
    <s v=""/>
    <s v=""/>
    <s v="2026-04-27"/>
    <s v="SNT 가공건"/>
    <s v="set"/>
    <s v="1"/>
    <s v="4,075,760"/>
    <n v="4075760"/>
    <n v="407576"/>
    <s v=""/>
    <x v="4"/>
    <m/>
  </r>
  <r>
    <m/>
    <m/>
    <m/>
    <m/>
    <m/>
    <s v=""/>
    <x v="1"/>
    <m/>
    <s v="충청남도 천안시 서북구 성환읍 왕지1길 151-1"/>
    <s v="872-86-03255"/>
    <x v="0"/>
    <x v="0"/>
    <s v="이창민"/>
    <s v="경기도 수원시 영통구 대학4로 17, 316-32호(이의동, 에이스광교타워 1차)"/>
    <m/>
    <m/>
    <m/>
    <s v="세금계산서"/>
    <s v="일반"/>
    <s v="인터넷발급"/>
    <s v=""/>
    <s v="청구"/>
    <s v="wngp@mcvision.co.kr"/>
    <s v="info@cminsight.kr"/>
    <s v=""/>
    <s v=""/>
    <s v=""/>
    <s v="2026-04-29"/>
    <s v="자동차 엑슬샤프트 PCD 검사 모듈"/>
    <s v="set"/>
    <s v="1"/>
    <s v="10,000,000"/>
    <n v="10000000"/>
    <n v="1000000"/>
    <s v=""/>
    <x v="4"/>
    <m/>
  </r>
  <r>
    <m/>
    <m/>
    <m/>
    <m/>
    <m/>
    <s v=""/>
    <x v="1"/>
    <m/>
    <s v="경기도 평택시 청북읍 청북새싹길 3((1층))"/>
    <s v="872-86-03255"/>
    <x v="0"/>
    <x v="0"/>
    <s v="이창민"/>
    <s v="수원시 영통구 대학4로17,316-32호(이의동,에이스광교)"/>
    <m/>
    <m/>
    <m/>
    <s v="세금계산서"/>
    <s v="일반"/>
    <s v="인터넷발급"/>
    <s v=""/>
    <s v="청구"/>
    <s v="hkbj5212@daum.net"/>
    <s v="cmi72@cminsight.kr"/>
    <s v=""/>
    <s v=""/>
    <s v=""/>
    <s v="2026-04-30"/>
    <s v="식대"/>
    <s v=""/>
    <s v=""/>
    <s v=""/>
    <n v="1152000"/>
    <n v="115200"/>
    <s v=""/>
    <x v="4"/>
    <m/>
  </r>
  <r>
    <m/>
    <m/>
    <m/>
    <m/>
    <m/>
    <s v=""/>
    <x v="1"/>
    <m/>
    <s v="경기도 안성시 중앙로 327, 2공학관 416-2호(석정동, 한경대학교)"/>
    <s v="872-86-03255"/>
    <x v="0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계사 Data Gathering Program"/>
    <s v="데이터 수집 소프트웨어"/>
    <s v="1"/>
    <s v="5,750,000"/>
    <n v="5750000"/>
    <n v="575000"/>
    <s v="선급금"/>
    <x v="4"/>
    <m/>
  </r>
  <r>
    <m/>
    <m/>
    <m/>
    <m/>
    <m/>
    <s v=""/>
    <x v="1"/>
    <m/>
    <s v="경기도 안성시 중앙로 327, 2공학관 416-2호(석정동, 한경대학교)"/>
    <s v="872-86-03255"/>
    <x v="0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FF_PCB Part Tracking System"/>
    <s v="Flat Flexible PCB QR 코드 리딩 및 외관사진 저장"/>
    <s v="1"/>
    <s v="5,500,000"/>
    <n v="5500000"/>
    <n v="550000"/>
    <s v="선급금"/>
    <x v="4"/>
    <m/>
  </r>
  <r>
    <m/>
    <m/>
    <m/>
    <m/>
    <m/>
    <s v=""/>
    <x v="1"/>
    <m/>
    <s v="경기도 평택시 오리곡길 33(독곡동)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4-30"/>
    <s v="생수"/>
    <s v="18.9L"/>
    <s v="5"/>
    <s v="6,000"/>
    <n v="30000"/>
    <n v="3000"/>
    <s v=""/>
    <x v="4"/>
    <m/>
  </r>
  <r>
    <m/>
    <m/>
    <m/>
    <m/>
    <m/>
    <s v=""/>
    <x v="1"/>
    <m/>
    <s v="경기도 평택시 청북읍 청원로 396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4-30"/>
    <s v="사무용품외"/>
    <s v=""/>
    <s v=""/>
    <s v=""/>
    <n v="208909"/>
    <n v="20891"/>
    <s v=""/>
    <x v="4"/>
    <m/>
  </r>
  <r>
    <m/>
    <m/>
    <m/>
    <m/>
    <m/>
    <s v=""/>
    <x v="1"/>
    <m/>
    <s v="경기도 화성시 만세구 향남읍 발안로 468-5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tjrudths0811@naver.com"/>
    <s v="telstareng@naver.com"/>
    <s v=""/>
    <s v=""/>
    <s v=""/>
    <s v="2026-04-30"/>
    <s v="빠우가공"/>
    <s v=""/>
    <s v=""/>
    <s v=""/>
    <n v="20000"/>
    <n v="2000"/>
    <s v=""/>
    <x v="4"/>
    <m/>
  </r>
  <r>
    <m/>
    <m/>
    <m/>
    <m/>
    <m/>
    <s v=""/>
    <x v="1"/>
    <m/>
    <s v="서울 구로구 구로동로47길 21"/>
    <s v="674-53-00544"/>
    <x v="0"/>
    <x v="2"/>
    <s v="전연아"/>
    <s v="경기 평택시 청북읍 현곡산단로93번길 89"/>
    <m/>
    <m/>
    <m/>
    <s v="세금계산서"/>
    <s v="일반"/>
    <s v="ASP발급"/>
    <s v=""/>
    <s v="청구"/>
    <s v="Tax@hisindoh.kr"/>
    <s v="telstareng@telstareng.co.kr"/>
    <s v=""/>
    <s v=""/>
    <s v=""/>
    <s v="2026-04-25"/>
    <s v="흑백A4 임대료(기본 - 기본)"/>
    <s v=""/>
    <s v="3,000"/>
    <s v="0"/>
    <n v="120000"/>
    <n v="12000"/>
    <s v="본사"/>
    <x v="4"/>
    <m/>
  </r>
  <r>
    <m/>
    <m/>
    <m/>
    <m/>
    <m/>
    <s v=""/>
    <x v="1"/>
    <m/>
    <s v="서울특별시 강남구 영동대로 511, 3804 (삼성동,무역회관)"/>
    <s v="674-53-00544"/>
    <x v="0"/>
    <x v="2"/>
    <s v="이창민"/>
    <s v="경기도 평택시 청북읍 현곡산단로93번길 89"/>
    <m/>
    <m/>
    <m/>
    <s v="세금계산서"/>
    <s v="일반"/>
    <s v="ASP발급"/>
    <s v="W060ZG"/>
    <s v="청구"/>
    <s v="ar@misumi.co.kr"/>
    <s v="to.yn@telstareng.co.kr"/>
    <s v=""/>
    <s v=""/>
    <s v=""/>
    <s v="2026-04-25"/>
    <s v="미스미부품대"/>
    <s v=""/>
    <s v="0"/>
    <s v="0"/>
    <n v="4847656"/>
    <n v="484766"/>
    <s v=""/>
    <x v="4"/>
    <m/>
  </r>
  <r>
    <m/>
    <m/>
    <m/>
    <m/>
    <m/>
    <s v=""/>
    <x v="1"/>
    <m/>
    <s v="경기도 화성시 팔탄면 푸른들판로 694-3 "/>
    <s v="674-53-00544"/>
    <x v="0"/>
    <x v="2"/>
    <s v="전연아"/>
    <s v="경기도 평택시 청북읍 현곡산단로93번길 89 "/>
    <m/>
    <m/>
    <m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3-31"/>
    <s v="PC가공품"/>
    <s v=""/>
    <s v="0"/>
    <s v="0"/>
    <n v="154000"/>
    <n v="15400"/>
    <s v="(2026-03-01 ~ 2026-03-31)"/>
    <x v="4"/>
    <m/>
  </r>
  <r>
    <m/>
    <m/>
    <m/>
    <m/>
    <m/>
    <s v=""/>
    <x v="1"/>
    <m/>
    <s v="경기도 화성시 양감면 암소고개로 86-37 (신왕리)"/>
    <s v="674-53-00544"/>
    <x v="0"/>
    <x v="2"/>
    <s v="전연아"/>
    <s v="경기도 평택시 청북읍 현곡산단로93번길 89"/>
    <m/>
    <m/>
    <m/>
    <s v="세금계산서"/>
    <s v="일반"/>
    <s v="ASP발급"/>
    <s v=""/>
    <s v="청구"/>
    <s v="dadrim@dadrim12.co.kr"/>
    <s v="info@cminsight.kr"/>
    <s v=""/>
    <s v=""/>
    <s v=""/>
    <s v="2026-03-31"/>
    <s v="RAL 9012(S)380*220*270 외 47건"/>
    <s v=""/>
    <s v="0"/>
    <s v="0"/>
    <n v="1128000"/>
    <n v="112800"/>
    <s v=""/>
    <x v="4"/>
    <m/>
  </r>
  <r>
    <m/>
    <m/>
    <m/>
    <m/>
    <m/>
    <s v=""/>
    <x v="1"/>
    <m/>
    <s v="경기도 화성시 문학로68번가길 10 ."/>
    <s v="674-53-00544"/>
    <x v="0"/>
    <x v="2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3-04"/>
    <s v="침탄"/>
    <s v=""/>
    <s v=""/>
    <s v=""/>
    <n v="20000"/>
    <n v="2000"/>
    <s v=""/>
    <x v="4"/>
    <m/>
  </r>
  <r>
    <m/>
    <m/>
    <m/>
    <m/>
    <m/>
    <s v=""/>
    <x v="1"/>
    <m/>
    <s v="서울특별시 구로구 구로중앙로42길 60 (신도림동)"/>
    <s v="674-53-00544"/>
    <x v="0"/>
    <x v="2"/>
    <s v="전연아"/>
    <s v="경기도 평택시 청북읍 현곡산단로93번길 89"/>
    <m/>
    <m/>
    <m/>
    <s v="세금계산서"/>
    <s v="일반"/>
    <s v="ASP발급"/>
    <s v=""/>
    <s v="청구"/>
    <s v="kil8569@magicbill.co.kr"/>
    <s v="info@cminsight.kr"/>
    <s v=""/>
    <s v=""/>
    <s v=""/>
    <s v="2026-03-31"/>
    <s v="레이저가공외"/>
    <s v=""/>
    <s v="0"/>
    <s v="0"/>
    <n v="4716320"/>
    <n v="471632"/>
    <s v=""/>
    <x v="4"/>
    <m/>
  </r>
  <r>
    <m/>
    <m/>
    <m/>
    <m/>
    <m/>
    <s v=""/>
    <x v="1"/>
    <m/>
    <s v="경기도 평택시 청북면 서해로 1711 외5필지102호"/>
    <s v="674-53-00544"/>
    <x v="0"/>
    <x v="2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3-31"/>
    <s v="MP4040 3.686M"/>
    <s v=""/>
    <s v="1"/>
    <s v="61,000"/>
    <n v="61000"/>
    <n v="6100"/>
    <s v=""/>
    <x v="4"/>
    <m/>
  </r>
  <r>
    <m/>
    <m/>
    <m/>
    <m/>
    <m/>
    <s v=""/>
    <x v="1"/>
    <m/>
    <s v="경기도 평택시 청북읍 청원로 396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3-31"/>
    <s v="사무용품외"/>
    <s v=""/>
    <s v=""/>
    <s v=""/>
    <n v="615000"/>
    <n v="61500"/>
    <s v=""/>
    <x v="4"/>
    <m/>
  </r>
  <r>
    <m/>
    <m/>
    <m/>
    <m/>
    <m/>
    <s v=""/>
    <x v="1"/>
    <m/>
    <s v="경기도 화성시 만세구 향남읍 동오1길 50-13(외 5필지)"/>
    <s v="674-53-00544"/>
    <x v="0"/>
    <x v="2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6-03-31"/>
    <s v="부품가공"/>
    <s v=""/>
    <s v=""/>
    <s v=""/>
    <n v="424000"/>
    <n v="42400"/>
    <s v=""/>
    <x v="4"/>
    <m/>
  </r>
  <r>
    <m/>
    <m/>
    <m/>
    <m/>
    <m/>
    <s v=""/>
    <x v="1"/>
    <m/>
    <s v="경기도 평택시 오리곡길 33(독곡동)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3-31"/>
    <s v="생수"/>
    <s v="18.9L"/>
    <s v="11"/>
    <s v="6,000"/>
    <n v="66000"/>
    <n v="6600"/>
    <s v=""/>
    <x v="4"/>
    <m/>
  </r>
  <r>
    <m/>
    <m/>
    <m/>
    <m/>
    <m/>
    <s v=""/>
    <x v="1"/>
    <m/>
    <s v="경기도 평택시 청북읍 청원로 396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3-31"/>
    <s v="사무용품외"/>
    <s v=""/>
    <s v=""/>
    <s v=""/>
    <n v="203455"/>
    <n v="20345"/>
    <s v=""/>
    <x v="4"/>
    <m/>
  </r>
  <r>
    <m/>
    <m/>
    <m/>
    <m/>
    <m/>
    <s v=""/>
    <x v="1"/>
    <m/>
    <s v="경기도 화성시 만세구 향남읍 발안로 468-5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tjrudths0811@naver.com"/>
    <s v="telstareng@naver.com"/>
    <s v=""/>
    <s v=""/>
    <s v=""/>
    <s v="2026-03-31"/>
    <s v="빠우가공"/>
    <s v=""/>
    <s v=""/>
    <s v=""/>
    <n v="25000"/>
    <n v="2500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3-26"/>
    <s v="운송료"/>
    <s v=""/>
    <s v=""/>
    <s v=""/>
    <n v="240000"/>
    <n v="24000"/>
    <s v=""/>
    <x v="4"/>
    <m/>
  </r>
  <r>
    <m/>
    <m/>
    <m/>
    <m/>
    <m/>
    <s v=""/>
    <x v="1"/>
    <m/>
    <s v="경기도 평택시 청북면 서해로 1711 외5필지102호"/>
    <s v="674-53-00544"/>
    <x v="0"/>
    <x v="2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3-24"/>
    <s v="철 브라켓 4035 외"/>
    <s v=""/>
    <s v=""/>
    <s v="0"/>
    <n v="2453200"/>
    <n v="245320"/>
    <s v=""/>
    <x v="4"/>
    <m/>
  </r>
  <r>
    <m/>
    <m/>
    <m/>
    <m/>
    <m/>
    <s v=""/>
    <x v="1"/>
    <m/>
    <s v="서울특별시 구로구 구로동로47길  21 (구로동)"/>
    <s v="674-53-00544"/>
    <x v="0"/>
    <x v="2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6-03-23"/>
    <s v="칼라복합기 렌탈료"/>
    <s v=""/>
    <s v="1"/>
    <s v="120,000"/>
    <n v="120000"/>
    <n v="12000"/>
    <s v=""/>
    <x v="4"/>
    <m/>
  </r>
  <r>
    <m/>
    <m/>
    <m/>
    <m/>
    <m/>
    <s v=""/>
    <x v="1"/>
    <m/>
    <s v="경기도 화성시 만세구 향남읍 백토관리길 75"/>
    <s v="674-53-00544"/>
    <x v="0"/>
    <x v="2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6-03-03"/>
    <s v="shaft 방전 d.p47"/>
    <s v="ea"/>
    <s v="2"/>
    <s v="70,000"/>
    <n v="140000"/>
    <n v="14000"/>
    <s v=""/>
    <x v="4"/>
    <m/>
  </r>
  <r>
    <m/>
    <m/>
    <m/>
    <m/>
    <m/>
    <s v=""/>
    <x v="1"/>
    <m/>
    <s v="경기도 화성시 만세구 향남읍 큰말안길 9-2"/>
    <s v="674-53-00544"/>
    <x v="0"/>
    <x v="2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6-02-28"/>
    <s v="부품"/>
    <s v=""/>
    <s v="0"/>
    <s v="0"/>
    <n v="486000"/>
    <n v="48600"/>
    <s v=""/>
    <x v="4"/>
    <m/>
  </r>
  <r>
    <m/>
    <m/>
    <m/>
    <m/>
    <m/>
    <s v=""/>
    <x v="1"/>
    <m/>
    <s v="경기도 화성시 양감면 암소고개로 86-37 (신왕리)"/>
    <s v="674-53-00544"/>
    <x v="0"/>
    <x v="2"/>
    <s v="전연아"/>
    <s v="경기도 평택시 청북읍 현곡산단로93번길 89"/>
    <m/>
    <m/>
    <m/>
    <s v="세금계산서"/>
    <s v="일반"/>
    <s v="ASP발급"/>
    <s v=""/>
    <s v="청구"/>
    <s v="dadrim@dadrim12.co.kr"/>
    <s v="info@cminsight.kr"/>
    <s v=""/>
    <s v=""/>
    <s v=""/>
    <s v="2026-02-28"/>
    <s v="액상 RAL1002(S) 390*150"/>
    <s v=""/>
    <s v="2"/>
    <s v="10,000"/>
    <n v="20000"/>
    <n v="2000"/>
    <s v=""/>
    <x v="4"/>
    <m/>
  </r>
  <r>
    <m/>
    <m/>
    <m/>
    <m/>
    <m/>
    <s v=""/>
    <x v="1"/>
    <m/>
    <s v="경기도 화성시 문학로68번가길 10 ."/>
    <s v="674-53-00544"/>
    <x v="0"/>
    <x v="2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2-05"/>
    <s v="CM외"/>
    <s v=""/>
    <s v=""/>
    <s v=""/>
    <n v="30000"/>
    <n v="3000"/>
    <s v=""/>
    <x v="4"/>
    <m/>
  </r>
  <r>
    <m/>
    <m/>
    <m/>
    <m/>
    <m/>
    <s v=""/>
    <x v="1"/>
    <m/>
    <s v="경기도 화성시 향남읍 발안공단로 4길 114 A동"/>
    <s v="674-53-00544"/>
    <x v="0"/>
    <x v="2"/>
    <s v="전연아"/>
    <s v="경기도 평택시 청북읍 현곡산단로 93번길 89 "/>
    <m/>
    <m/>
    <m/>
    <s v="세금계산서"/>
    <s v="일반"/>
    <s v="ASP발급"/>
    <s v=""/>
    <s v="청구"/>
    <s v="hys4468@naver.com"/>
    <s v="telstareng@naver.com"/>
    <s v=""/>
    <s v=""/>
    <s v=""/>
    <s v="2026-02-28"/>
    <s v="도금대"/>
    <s v=""/>
    <s v="0"/>
    <s v="0"/>
    <n v="917000"/>
    <n v="91700"/>
    <s v=""/>
    <x v="4"/>
    <m/>
  </r>
  <r>
    <m/>
    <m/>
    <m/>
    <m/>
    <m/>
    <s v=""/>
    <x v="1"/>
    <m/>
    <s v="경기도 평택시 청북읍 청원로 396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2-28"/>
    <s v="사무용품외"/>
    <s v=""/>
    <s v=""/>
    <s v=""/>
    <n v="955000"/>
    <n v="95500"/>
    <s v=""/>
    <x v="4"/>
    <m/>
  </r>
  <r>
    <m/>
    <m/>
    <m/>
    <m/>
    <m/>
    <s v=""/>
    <x v="1"/>
    <m/>
    <s v="서울특별시 구로구 구로중앙로42길 60 (신도림동)"/>
    <s v="674-53-00544"/>
    <x v="0"/>
    <x v="2"/>
    <s v="전연아"/>
    <s v="경기도 평택시 청북읍 현곡산단로93번길 89"/>
    <m/>
    <m/>
    <m/>
    <s v="세금계산서"/>
    <s v="일반"/>
    <s v="ASP발급"/>
    <s v=""/>
    <s v="청구"/>
    <s v="kil8569@magicbill.co.kr"/>
    <s v="info@cminsight.kr"/>
    <s v=""/>
    <s v=""/>
    <s v=""/>
    <s v="2026-02-27"/>
    <s v="레이저가공외"/>
    <s v=""/>
    <s v="0"/>
    <s v="0"/>
    <n v="257400"/>
    <n v="25740"/>
    <s v=""/>
    <x v="4"/>
    <m/>
  </r>
  <r>
    <m/>
    <m/>
    <m/>
    <m/>
    <m/>
    <s v=""/>
    <x v="1"/>
    <m/>
    <s v="경기도 평택시 청북읍 청원로 396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2-27"/>
    <s v="사무용품외"/>
    <s v=""/>
    <s v=""/>
    <s v=""/>
    <n v="264818"/>
    <n v="26482"/>
    <s v=""/>
    <x v="4"/>
    <m/>
  </r>
  <r>
    <m/>
    <m/>
    <m/>
    <m/>
    <m/>
    <s v=""/>
    <x v="1"/>
    <m/>
    <s v="경기 평택시 평택로269(세교동)"/>
    <s v="674-53-00544"/>
    <x v="0"/>
    <x v="2"/>
    <s v="전연아"/>
    <s v="경기도 평택시 청북읍 현곡산단로 93번길 89"/>
    <m/>
    <m/>
    <m/>
    <s v="세금계산서"/>
    <s v="일반"/>
    <s v="ASP발급"/>
    <s v="일괄집계 260223000083"/>
    <s v="청구"/>
    <s v="kbg011230@daum.net"/>
    <s v="info@cminsight.kr"/>
    <s v=""/>
    <s v=""/>
    <s v=""/>
    <s v="2026-02-25"/>
    <s v="AL 2T 명판(외3건)"/>
    <s v=""/>
    <s v="0"/>
    <s v="0"/>
    <n v="35000"/>
    <n v="3500"/>
    <s v=""/>
    <x v="4"/>
    <m/>
  </r>
  <r>
    <m/>
    <m/>
    <m/>
    <m/>
    <m/>
    <s v=""/>
    <x v="1"/>
    <m/>
    <s v="경기도 화성시 만세구 향남읍 백토관리길 75"/>
    <s v="674-53-00544"/>
    <x v="0"/>
    <x v="2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6-02-19"/>
    <s v="shaft 방전(양쪽)"/>
    <s v="set"/>
    <s v="2"/>
    <s v="70,000"/>
    <n v="140000"/>
    <n v="14000"/>
    <s v=""/>
    <x v="4"/>
    <m/>
  </r>
  <r>
    <m/>
    <m/>
    <m/>
    <m/>
    <m/>
    <s v=""/>
    <x v="1"/>
    <m/>
    <s v="서울특별시 구로구 구로동로47길  21 (구로동)"/>
    <s v="674-53-00544"/>
    <x v="0"/>
    <x v="2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6-02-23"/>
    <s v="칼라복합기 렌탈료"/>
    <s v=""/>
    <s v="1"/>
    <s v="120,000"/>
    <n v="120000"/>
    <n v="12000"/>
    <s v=""/>
    <x v="4"/>
    <m/>
  </r>
  <r>
    <m/>
    <m/>
    <m/>
    <m/>
    <m/>
    <s v=""/>
    <x v="1"/>
    <m/>
    <s v="경기도 평택시 청북면 서해로 1711 외5필지102호"/>
    <s v="674-53-00544"/>
    <x v="0"/>
    <x v="2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2-11"/>
    <s v="MP4040 470 외"/>
    <s v=""/>
    <s v=""/>
    <s v="0"/>
    <n v="361200"/>
    <n v="36120"/>
    <s v=""/>
    <x v="4"/>
    <m/>
  </r>
  <r>
    <m/>
    <m/>
    <m/>
    <m/>
    <m/>
    <s v=""/>
    <x v="1"/>
    <m/>
    <s v="경기도 화성시 향남읍 큰말안길 9-2"/>
    <s v="674-53-00544"/>
    <x v="0"/>
    <x v="2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6-01-31"/>
    <s v="부품"/>
    <s v=""/>
    <s v="0"/>
    <s v="0"/>
    <n v="675000"/>
    <n v="67500"/>
    <s v=""/>
    <x v="4"/>
    <m/>
  </r>
  <r>
    <m/>
    <m/>
    <m/>
    <m/>
    <m/>
    <s v=""/>
    <x v="1"/>
    <m/>
    <s v="경기도 수원시 권선구 산업로156번길 125-11"/>
    <s v="674-53-00544"/>
    <x v="0"/>
    <x v="2"/>
    <s v="이창민"/>
    <s v="경기도 평택시 청북읍 현곡산단로93번길 89"/>
    <m/>
    <m/>
    <m/>
    <s v="세금계산서"/>
    <s v="일반"/>
    <s v="ASP발급"/>
    <s v=""/>
    <s v="청구"/>
    <s v="SEORO@SEOROTECH.CO.KR"/>
    <s v="info@cminsight.kr"/>
    <s v=""/>
    <s v=""/>
    <s v=""/>
    <s v="2026-01-31"/>
    <s v="WRGW2030-5Z"/>
    <s v=""/>
    <s v="20"/>
    <s v="28,000"/>
    <n v="560000"/>
    <n v="56000"/>
    <s v=""/>
    <x v="4"/>
    <m/>
  </r>
  <r>
    <m/>
    <m/>
    <m/>
    <m/>
    <m/>
    <s v=""/>
    <x v="1"/>
    <m/>
    <s v="경기도  화성시 서봉로 637-7"/>
    <s v="674-53-00544"/>
    <x v="0"/>
    <x v="2"/>
    <s v="이창민"/>
    <s v="경기도 평택시 청북읍 현곡산단로93번길 89"/>
    <m/>
    <m/>
    <m/>
    <s v="세금계산서"/>
    <s v="일반"/>
    <s v="ASP발급"/>
    <s v=""/>
    <s v="청구"/>
    <s v="cigolnom12@naver.com"/>
    <s v="info@cminsight.kr"/>
    <s v=""/>
    <s v=""/>
    <s v=""/>
    <s v="2026-01-31"/>
    <s v="발주번호 20260105-01 CJ1B4-5SU4외6종"/>
    <s v=""/>
    <s v="1"/>
    <s v="367,490"/>
    <n v="367490"/>
    <n v="36749"/>
    <s v=""/>
    <x v="4"/>
    <m/>
  </r>
  <r>
    <m/>
    <m/>
    <m/>
    <m/>
    <m/>
    <s v=""/>
    <x v="1"/>
    <m/>
    <s v="경기도 화성시 양감면 암소고개로 86-37 (신왕리)"/>
    <s v="674-53-00544"/>
    <x v="0"/>
    <x v="2"/>
    <s v="전연아"/>
    <s v="경기도 평택시 청북읍 현곡산단로93번길 89"/>
    <m/>
    <m/>
    <m/>
    <s v="세금계산서"/>
    <s v="일반"/>
    <s v="ASP발급"/>
    <s v=""/>
    <s v="청구"/>
    <s v="dadrim@dadrim12.co.kr"/>
    <s v="info@cminsight.kr"/>
    <s v=""/>
    <s v=""/>
    <s v=""/>
    <s v="2026-01-31"/>
    <s v="7035(G) 450*400 외 8건"/>
    <s v=""/>
    <s v="0"/>
    <s v="0"/>
    <n v="677000"/>
    <n v="67700"/>
    <s v=""/>
    <x v="4"/>
    <m/>
  </r>
  <r>
    <m/>
    <m/>
    <m/>
    <m/>
    <m/>
    <s v=""/>
    <x v="1"/>
    <m/>
    <s v="경기도 화성시 문학로68번가길 10 ."/>
    <s v="674-53-00544"/>
    <x v="0"/>
    <x v="2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1-08"/>
    <s v="D-11외"/>
    <s v=""/>
    <s v=""/>
    <s v=""/>
    <n v="65000"/>
    <n v="6500"/>
    <s v=""/>
    <x v="4"/>
    <m/>
  </r>
  <r>
    <m/>
    <m/>
    <m/>
    <m/>
    <m/>
    <s v=""/>
    <x v="1"/>
    <m/>
    <s v="경기도 화성시 향남읍 발안공단로 4길 114 A동"/>
    <s v="674-53-00544"/>
    <x v="0"/>
    <x v="2"/>
    <s v="전연아"/>
    <s v="경기도 평택시 청북읍 현곡산단로 93번길 89 "/>
    <m/>
    <m/>
    <m/>
    <s v="세금계산서"/>
    <s v="일반"/>
    <s v="ASP발급"/>
    <s v=""/>
    <s v="청구"/>
    <s v="hys4468@naver.com"/>
    <s v="telstareng@naver.com"/>
    <s v=""/>
    <s v=""/>
    <s v=""/>
    <s v="2026-01-31"/>
    <s v="도금대"/>
    <s v=""/>
    <s v="0"/>
    <s v="0"/>
    <n v="570000"/>
    <n v="57000"/>
    <s v=""/>
    <x v="4"/>
    <m/>
  </r>
  <r>
    <m/>
    <m/>
    <m/>
    <m/>
    <m/>
    <s v=""/>
    <x v="1"/>
    <m/>
    <s v="경기도 평택시 청북읍 청원로 396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1-31"/>
    <s v="사무용품외"/>
    <s v=""/>
    <s v=""/>
    <s v=""/>
    <n v="885000"/>
    <n v="88500"/>
    <s v=""/>
    <x v="4"/>
    <m/>
  </r>
  <r>
    <m/>
    <m/>
    <m/>
    <m/>
    <m/>
    <s v=""/>
    <x v="1"/>
    <m/>
    <s v="대구광역시 달서구 성서공단북로 156, 1층 가호(호산동)"/>
    <s v="674-53-00544"/>
    <x v="0"/>
    <x v="2"/>
    <s v="이 창민"/>
    <s v="경기도 평택시 청북읍 현곡산단로93번길89"/>
    <m/>
    <m/>
    <m/>
    <s v="세금계산서"/>
    <s v="일반"/>
    <s v="인터넷발급"/>
    <s v="입금은행 : 기업은행,  예금주 : 최현복/티에스엠,  계좌번호 : 482-036120-04-015"/>
    <s v="청구"/>
    <s v="hbchoi.tsm@gmail.com"/>
    <s v="to.yn@telstareng.co.kr"/>
    <s v=""/>
    <s v=""/>
    <s v=""/>
    <s v="2026-01-31"/>
    <s v="MASTER STORAGE"/>
    <s v="set"/>
    <s v="1"/>
    <s v="140,000"/>
    <n v="140000"/>
    <n v="14000"/>
    <s v=""/>
    <x v="4"/>
    <m/>
  </r>
  <r>
    <m/>
    <m/>
    <m/>
    <m/>
    <m/>
    <s v=""/>
    <x v="1"/>
    <m/>
    <s v="경기도 화성시 팔탄면 푸른들판로 694-3 "/>
    <s v="674-53-00544"/>
    <x v="0"/>
    <x v="2"/>
    <s v="전연아"/>
    <s v="경기도 평택시 청북읍 현곡산단로93번길 89 "/>
    <m/>
    <m/>
    <m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1-30"/>
    <s v="PC가공품"/>
    <s v=""/>
    <s v="0"/>
    <s v="0"/>
    <n v="9000"/>
    <n v="900"/>
    <s v="(2026-01-01 ~ 2026-01-30)"/>
    <x v="4"/>
    <m/>
  </r>
  <r>
    <m/>
    <m/>
    <m/>
    <m/>
    <m/>
    <s v=""/>
    <x v="1"/>
    <m/>
    <s v="서울특별시 구로구 구로중앙로42길 60 (신도림동)"/>
    <s v="674-53-00544"/>
    <x v="0"/>
    <x v="2"/>
    <s v="전연아"/>
    <s v="경기도 평택시 청북읍 현곡산단로93번길 89"/>
    <m/>
    <m/>
    <m/>
    <s v="세금계산서"/>
    <s v="일반"/>
    <s v="ASP발급"/>
    <s v=""/>
    <s v="청구"/>
    <s v="kil8569@magicbill.co.kr"/>
    <s v="info@cminsight.kr"/>
    <s v=""/>
    <s v=""/>
    <s v=""/>
    <s v="2026-01-30"/>
    <s v="레이저가공외"/>
    <s v=""/>
    <s v="0"/>
    <s v="0"/>
    <n v="283800"/>
    <n v="28380"/>
    <s v=""/>
    <x v="4"/>
    <m/>
  </r>
  <r>
    <m/>
    <m/>
    <m/>
    <m/>
    <m/>
    <s v=""/>
    <x v="1"/>
    <m/>
    <s v="서울특별시 구로구 신도림로15길 21-22(신도림동)"/>
    <s v="674-53-00544"/>
    <x v="0"/>
    <x v="2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6-01-30"/>
    <s v="부품가공"/>
    <s v=""/>
    <s v=""/>
    <s v=""/>
    <n v="9000000"/>
    <n v="900000"/>
    <s v=""/>
    <x v="4"/>
    <m/>
  </r>
  <r>
    <m/>
    <m/>
    <m/>
    <m/>
    <m/>
    <s v=""/>
    <x v="1"/>
    <m/>
    <s v="경기도 화성시 향남읍 동오1길 50-13(외 5필지)"/>
    <s v="674-53-00544"/>
    <x v="0"/>
    <x v="2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6-01-30"/>
    <s v="부품가공"/>
    <s v=""/>
    <s v=""/>
    <s v=""/>
    <n v="155000"/>
    <n v="15500"/>
    <s v=""/>
    <x v="4"/>
    <m/>
  </r>
  <r>
    <m/>
    <m/>
    <m/>
    <m/>
    <m/>
    <s v=""/>
    <x v="1"/>
    <m/>
    <s v="경기도 평택시 오리곡길 33(독곡동)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1-30"/>
    <s v="생수"/>
    <s v="18.9L"/>
    <s v="11"/>
    <s v="6,000"/>
    <n v="66000"/>
    <n v="6600"/>
    <s v=""/>
    <x v="4"/>
    <m/>
  </r>
  <r>
    <m/>
    <m/>
    <m/>
    <m/>
    <m/>
    <s v=""/>
    <x v="1"/>
    <m/>
    <s v="경기도 평택시 청북읍 청원로 396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1-30"/>
    <s v="사무용품외"/>
    <s v=""/>
    <s v=""/>
    <s v=""/>
    <n v="101809"/>
    <n v="10181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1-30"/>
    <s v="운송료"/>
    <s v=""/>
    <s v=""/>
    <s v=""/>
    <n v="240000"/>
    <n v="24000"/>
    <s v=""/>
    <x v="4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1-28"/>
    <s v="운송료"/>
    <s v=""/>
    <s v=""/>
    <s v=""/>
    <n v="70000"/>
    <n v="7000"/>
    <s v=""/>
    <x v="4"/>
    <m/>
  </r>
  <r>
    <m/>
    <m/>
    <m/>
    <m/>
    <m/>
    <s v=""/>
    <x v="1"/>
    <m/>
    <s v="경기 평택시 평택로269(세교동)"/>
    <s v="674-53-00544"/>
    <x v="0"/>
    <x v="2"/>
    <s v="전연아"/>
    <s v="경기도 평택시 청북읍 현곡산단로 93번길 89"/>
    <m/>
    <m/>
    <m/>
    <s v="세금계산서"/>
    <s v="일반"/>
    <s v="ASP발급"/>
    <s v="일괄집계 260126000026"/>
    <s v="청구"/>
    <s v="kbg011230@daum.net"/>
    <s v="info@cminsight.kr"/>
    <s v=""/>
    <s v=""/>
    <s v=""/>
    <s v="2026-01-26"/>
    <s v="청색 AL 0.5T-가공 (외3건)"/>
    <s v=""/>
    <s v="0"/>
    <s v="0"/>
    <n v="288000"/>
    <n v="28800"/>
    <s v=""/>
    <x v="4"/>
    <m/>
  </r>
  <r>
    <m/>
    <m/>
    <m/>
    <m/>
    <m/>
    <s v=""/>
    <x v="1"/>
    <m/>
    <s v="서울특별시 구로구 구로동로47길  21 (구로동)"/>
    <s v="674-53-00544"/>
    <x v="0"/>
    <x v="2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6-01-22"/>
    <s v="칼라복합기 렌탈료"/>
    <s v=""/>
    <s v="1"/>
    <s v="120,000"/>
    <n v="120000"/>
    <n v="12000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1-22"/>
    <s v="운송료"/>
    <s v=""/>
    <s v=""/>
    <s v=""/>
    <n v="240000"/>
    <n v="24000"/>
    <s v=""/>
    <x v="4"/>
    <m/>
  </r>
  <r>
    <m/>
    <m/>
    <m/>
    <m/>
    <m/>
    <s v=""/>
    <x v="1"/>
    <m/>
    <s v="경기도 화성시 향남읍 큰말안길 9-2"/>
    <s v="674-53-00544"/>
    <x v="0"/>
    <x v="2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5-12-31"/>
    <s v="부품"/>
    <s v=""/>
    <s v="0"/>
    <s v="0"/>
    <n v="446000"/>
    <n v="44600"/>
    <s v=""/>
    <x v="4"/>
    <m/>
  </r>
  <r>
    <m/>
    <m/>
    <m/>
    <m/>
    <m/>
    <s v=""/>
    <x v="1"/>
    <m/>
    <s v="경기도 수원시 권선구 산업로156번길 125-11"/>
    <s v="674-53-00544"/>
    <x v="0"/>
    <x v="2"/>
    <s v="이창민"/>
    <s v="경기도 평택시 청북읍 현곡산단로93번길 89"/>
    <m/>
    <m/>
    <m/>
    <s v="세금계산서"/>
    <s v="일반"/>
    <s v="ASP발급"/>
    <s v=""/>
    <s v="청구"/>
    <s v="SEORO@SEOROTECH.CO.KR"/>
    <s v="info@cminsight.kr"/>
    <s v=""/>
    <s v=""/>
    <s v=""/>
    <s v="2025-12-31"/>
    <s v="HSR20R2UU+400L(20/20) 외2건"/>
    <s v=""/>
    <s v="0"/>
    <s v="0"/>
    <n v="378000"/>
    <n v="37800"/>
    <s v=""/>
    <x v="4"/>
    <m/>
  </r>
  <r>
    <m/>
    <m/>
    <m/>
    <m/>
    <m/>
    <s v=""/>
    <x v="1"/>
    <m/>
    <s v="경기도  화성시 서봉로 637-7"/>
    <s v="674-53-00544"/>
    <x v="0"/>
    <x v="2"/>
    <s v="이창민"/>
    <s v="경기도 평택시 청북읍 현곡산단로93번길 89"/>
    <m/>
    <m/>
    <m/>
    <s v="세금계산서"/>
    <s v="일반"/>
    <s v="ASP발급"/>
    <s v=""/>
    <s v="청구"/>
    <s v="cigolnom12@naver.com"/>
    <s v="info@cminsight.kr"/>
    <s v=""/>
    <s v=""/>
    <s v=""/>
    <s v="2025-12-31"/>
    <s v="GUIDE CYLINDER MGPM25-75Z-A93L 외"/>
    <s v=""/>
    <s v="0"/>
    <s v="0"/>
    <n v="2765490"/>
    <n v="276549"/>
    <s v=""/>
    <x v="4"/>
    <m/>
  </r>
  <r>
    <m/>
    <m/>
    <m/>
    <m/>
    <m/>
    <s v=""/>
    <x v="1"/>
    <m/>
    <s v="경기도 화성시 향남읍 발안공단로 4길 114 A동"/>
    <s v="674-53-00544"/>
    <x v="0"/>
    <x v="2"/>
    <s v="전연아"/>
    <s v="경기도 평택시 청북읍 현곡산단로 93번길 89 "/>
    <m/>
    <m/>
    <m/>
    <s v="세금계산서"/>
    <s v="일반"/>
    <s v="ASP발급"/>
    <s v=""/>
    <s v="청구"/>
    <s v="hys4468@naver.com"/>
    <s v="telstareng@naver.com"/>
    <s v=""/>
    <s v=""/>
    <s v=""/>
    <s v="2025-12-31"/>
    <s v="도금대"/>
    <s v=""/>
    <s v="0"/>
    <s v="0"/>
    <n v="1065000"/>
    <n v="106500"/>
    <s v=""/>
    <x v="4"/>
    <m/>
  </r>
  <r>
    <m/>
    <m/>
    <m/>
    <m/>
    <m/>
    <s v=""/>
    <x v="1"/>
    <m/>
    <s v="경상북도 경주시 외동읍 문산공단길 226-48"/>
    <s v="674-53-00544"/>
    <x v="0"/>
    <x v="2"/>
    <s v="이창민"/>
    <s v="평택시 청북면 현곡산단로93번길 89"/>
    <m/>
    <m/>
    <m/>
    <s v="세금계산서"/>
    <s v="일반"/>
    <s v="인터넷발급"/>
    <s v=""/>
    <s v="청구"/>
    <s v="jseng901@nate.com"/>
    <s v="to.yn@telstareng.co.kr"/>
    <s v=""/>
    <s v=""/>
    <s v=""/>
    <s v="2025-12-31"/>
    <s v="셰플러 외"/>
    <s v="식"/>
    <s v="1"/>
    <s v="2,900,000"/>
    <n v="2900000"/>
    <n v="290000"/>
    <s v=""/>
    <x v="4"/>
    <m/>
  </r>
  <r>
    <m/>
    <m/>
    <m/>
    <m/>
    <m/>
    <s v=""/>
    <x v="1"/>
    <m/>
    <s v="서울특별시 구로구 신도림로15길 21-22(신도림동)"/>
    <s v="674-53-00544"/>
    <x v="0"/>
    <x v="2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5-12-31"/>
    <s v="부품가공"/>
    <s v=""/>
    <s v=""/>
    <s v=""/>
    <n v="12500000"/>
    <n v="1250000"/>
    <s v=""/>
    <x v="4"/>
    <m/>
  </r>
  <r>
    <m/>
    <m/>
    <m/>
    <m/>
    <m/>
    <s v=""/>
    <x v="1"/>
    <m/>
    <s v="경기도 화성시 향남읍 동오1길 50-13(외 5필지)"/>
    <s v="674-53-00544"/>
    <x v="0"/>
    <x v="2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5-12-31"/>
    <s v="부품가공"/>
    <s v=""/>
    <s v=""/>
    <s v=""/>
    <n v="150000"/>
    <n v="15000"/>
    <s v=""/>
    <x v="4"/>
    <m/>
  </r>
  <r>
    <m/>
    <m/>
    <m/>
    <m/>
    <m/>
    <s v=""/>
    <x v="1"/>
    <m/>
    <s v="경기도 평택시 청북읍 청원로 396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5-12-31"/>
    <s v="사무용품"/>
    <s v=""/>
    <s v=""/>
    <s v=""/>
    <n v="474909"/>
    <n v="47491"/>
    <s v=""/>
    <x v="4"/>
    <m/>
  </r>
  <r>
    <m/>
    <m/>
    <m/>
    <m/>
    <m/>
    <s v=""/>
    <x v="1"/>
    <m/>
    <s v="경기도 평택시 청북면 서해로 1711 외5필지102호"/>
    <s v="674-53-00544"/>
    <x v="0"/>
    <x v="2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5-12-30"/>
    <s v="2단카바 외"/>
    <s v=""/>
    <s v=""/>
    <s v="0"/>
    <n v="1112500"/>
    <n v="111250"/>
    <s v=""/>
    <x v="4"/>
    <m/>
  </r>
  <r>
    <m/>
    <m/>
    <m/>
    <m/>
    <m/>
    <s v=""/>
    <x v="1"/>
    <m/>
    <s v="서울특별시 구로구 구로동로47길  21 (구로동)"/>
    <s v="674-53-00544"/>
    <x v="0"/>
    <x v="2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5-12-23"/>
    <s v="칼라복합기 렌탈료"/>
    <s v=""/>
    <s v="1"/>
    <s v="120,000"/>
    <n v="120000"/>
    <n v="12000"/>
    <s v=""/>
    <x v="4"/>
    <m/>
  </r>
  <r>
    <m/>
    <m/>
    <m/>
    <m/>
    <m/>
    <s v=""/>
    <x v="1"/>
    <m/>
    <s v="경기도 평택시 청북읍 고렴길 203"/>
    <s v="674-53-00544"/>
    <x v="0"/>
    <x v="2"/>
    <s v="전연아"/>
    <s v="경기도 평택시 청북읍 현곡산단로93번길89"/>
    <m/>
    <m/>
    <m/>
    <s v="세금계산서"/>
    <s v="일반"/>
    <s v="인터넷발급"/>
    <s v=""/>
    <s v="청구"/>
    <s v="ens6554@naver.com"/>
    <s v="to.yn@telstareng.co.kr"/>
    <s v=""/>
    <s v=""/>
    <s v=""/>
    <s v="2025-12-13"/>
    <s v="창원 엑셀라인 인력지원"/>
    <s v="M/D"/>
    <s v="2"/>
    <s v="300,000"/>
    <n v="600000"/>
    <n v="60000"/>
    <s v=""/>
    <x v="4"/>
    <m/>
  </r>
  <r>
    <m/>
    <m/>
    <m/>
    <m/>
    <m/>
    <s v=""/>
    <x v="1"/>
    <m/>
    <s v="서울특별시 구로구 신도림로15길 21-22(신도림동)"/>
    <s v="674-53-00544"/>
    <x v="0"/>
    <x v="2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5-12-11"/>
    <s v="부품가공"/>
    <s v=""/>
    <s v=""/>
    <s v=""/>
    <n v="25000000"/>
    <n v="2500000"/>
    <s v=""/>
    <x v="4"/>
    <m/>
  </r>
  <r>
    <m/>
    <m/>
    <m/>
    <m/>
    <m/>
    <s v=""/>
    <x v="1"/>
    <m/>
    <s v="경기도 화성시 향남읍 백토관리길 75"/>
    <s v="674-53-00544"/>
    <x v="0"/>
    <x v="2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5-12-06"/>
    <s v="사각24*24d.p40방전"/>
    <s v="set"/>
    <s v="2"/>
    <s v="60,000"/>
    <n v="120000"/>
    <n v="12000"/>
    <s v=""/>
    <x v="4"/>
    <m/>
  </r>
  <r>
    <m/>
    <m/>
    <m/>
    <m/>
    <m/>
    <s v=""/>
    <x v="1"/>
    <m/>
    <s v="서울특별시 구로구 신도림로15길 21-22(신도림동)"/>
    <s v="674-53-00544"/>
    <x v="0"/>
    <x v="2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5-11-14"/>
    <s v="ATC플레이트  외"/>
    <s v=""/>
    <s v=""/>
    <s v=""/>
    <n v="28812000"/>
    <n v="2881200"/>
    <s v=""/>
    <x v="4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s v=""/>
    <x v="1"/>
    <m/>
    <s v="경기도 평택시 오리곡길 33(독곡동)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5-29"/>
    <s v="생수"/>
    <s v="18.9L"/>
    <s v="5"/>
    <s v="6,000"/>
    <n v="30000"/>
    <n v="3000"/>
    <s v=""/>
    <x v="4"/>
    <m/>
  </r>
  <r>
    <m/>
    <m/>
    <m/>
    <m/>
    <m/>
    <s v=""/>
    <x v="1"/>
    <m/>
    <s v="경기도 평택시 청북읍 청원로 396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5-29"/>
    <s v="사무용품외"/>
    <s v=""/>
    <s v=""/>
    <s v=""/>
    <n v="285909"/>
    <n v="28591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8"/>
    <s v="운송료"/>
    <s v=""/>
    <s v=""/>
    <s v=""/>
    <n v="50000"/>
    <n v="5000"/>
    <s v=""/>
    <x v="4"/>
    <m/>
  </r>
  <r>
    <s v="2026-05-28"/>
    <s v="20260528-10260528-48596507"/>
    <s v="2026-05-28"/>
    <s v="2026-05-28"/>
    <s v="214-10-99891"/>
    <s v=""/>
    <x v="1"/>
    <m/>
    <m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영수"/>
    <s v="sa0204rang@nate.com"/>
    <s v="changmin.lee@telstar.kr"/>
    <s v=""/>
    <s v=""/>
    <s v=""/>
    <s v="2026-05-28"/>
    <s v="수임료(2026-4573)"/>
    <s v=""/>
    <s v=""/>
    <s v=""/>
    <n v="5000000"/>
    <n v="500000"/>
    <s v=""/>
    <x v="0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7"/>
    <s v="운송료"/>
    <s v=""/>
    <s v=""/>
    <s v=""/>
    <n v="50000"/>
    <n v="5000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6"/>
    <s v="운송료"/>
    <s v=""/>
    <s v=""/>
    <s v=""/>
    <n v="160000"/>
    <n v="16000"/>
    <s v=""/>
    <x v="4"/>
    <m/>
  </r>
  <r>
    <m/>
    <m/>
    <m/>
    <m/>
    <m/>
    <s v=""/>
    <x v="1"/>
    <m/>
    <s v="서울 구로구 구로동로47길 21"/>
    <s v="674-53-00544"/>
    <x v="0"/>
    <x v="2"/>
    <s v="전연아"/>
    <s v="경기 평택시 청북읍 현곡산단로93번길 89"/>
    <m/>
    <m/>
    <m/>
    <s v="세금계산서"/>
    <s v="일반"/>
    <s v="ASP발급"/>
    <s v=""/>
    <s v="청구"/>
    <s v="Tax@hisindoh.kr"/>
    <s v="telstareng@telstareng.co.kr"/>
    <s v=""/>
    <s v=""/>
    <s v=""/>
    <s v="2026-05-25"/>
    <s v="흑백A4 임대료(기본 - 기본)"/>
    <s v=""/>
    <s v="3,000"/>
    <s v="0"/>
    <n v="120000"/>
    <n v="12000"/>
    <s v="본사"/>
    <x v="4"/>
    <m/>
  </r>
  <r>
    <m/>
    <m/>
    <m/>
    <m/>
    <m/>
    <s v=""/>
    <x v="1"/>
    <m/>
    <s v="서울특별시 강남구 영동대로 511, 3804 (삼성동,무역회관)"/>
    <s v="674-53-00544"/>
    <x v="0"/>
    <x v="2"/>
    <s v="이창민"/>
    <s v="경기도 평택시 청북읍 현곡산단로93번길 89"/>
    <m/>
    <m/>
    <m/>
    <s v="세금계산서"/>
    <s v="일반"/>
    <s v="ASP발급"/>
    <s v="W060ZG"/>
    <s v="청구"/>
    <s v="ar@misumi.co.kr"/>
    <s v="to.yn@telstareng.co.kr"/>
    <s v=""/>
    <s v=""/>
    <s v=""/>
    <s v="2026-05-25"/>
    <s v="미스미부품대"/>
    <s v=""/>
    <s v="0"/>
    <s v="0"/>
    <n v="1893316"/>
    <n v="189332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2"/>
    <s v="운송료"/>
    <s v=""/>
    <s v=""/>
    <s v=""/>
    <n v="330000"/>
    <n v="33000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1"/>
    <s v="운송료"/>
    <s v=""/>
    <s v=""/>
    <s v=""/>
    <n v="60000"/>
    <n v="6000"/>
    <s v=""/>
    <x v="4"/>
    <m/>
  </r>
  <r>
    <m/>
    <m/>
    <m/>
    <m/>
    <m/>
    <s v=""/>
    <x v="1"/>
    <m/>
    <s v="서울특별시 강남구  학동로4길 10 301호 (논현동)"/>
    <s v="674-53-00544"/>
    <x v="0"/>
    <x v="2"/>
    <s v="이창민"/>
    <s v="경기 평택시 청북읍 현곡산단로93번길 89 (현곡리)"/>
    <m/>
    <m/>
    <m/>
    <s v="세금계산서"/>
    <s v="일반"/>
    <s v="ASP발급"/>
    <s v=""/>
    <s v="청구"/>
    <s v=""/>
    <s v="cmi72@cminsight.kr"/>
    <s v=""/>
    <s v=""/>
    <s v=""/>
    <s v="2026-05-20"/>
    <s v="5월 기장료"/>
    <s v=""/>
    <s v=""/>
    <s v=""/>
    <n v="100000"/>
    <n v="10000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5"/>
    <s v="운송료 (진위)"/>
    <s v=""/>
    <s v=""/>
    <s v=""/>
    <n v="50000"/>
    <n v="5000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5"/>
    <s v="운송료"/>
    <s v=""/>
    <s v=""/>
    <s v=""/>
    <n v="50000"/>
    <n v="5000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4"/>
    <s v="운송료"/>
    <s v=""/>
    <s v=""/>
    <s v=""/>
    <n v="240000"/>
    <n v="24000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4"/>
    <s v="운송료"/>
    <s v=""/>
    <s v=""/>
    <s v=""/>
    <n v="100000"/>
    <n v="10000"/>
    <s v=""/>
    <x v="4"/>
    <m/>
  </r>
  <r>
    <m/>
    <m/>
    <m/>
    <m/>
    <m/>
    <s v=""/>
    <x v="1"/>
    <m/>
    <s v="경기도 평택시 청북읍 청오로 460, 1층"/>
    <s v="674-53-00544"/>
    <x v="0"/>
    <x v="2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2"/>
    <s v="운송료"/>
    <s v=""/>
    <s v=""/>
    <s v=""/>
    <n v="100000"/>
    <n v="10000"/>
    <s v=""/>
    <x v="4"/>
    <m/>
  </r>
  <r>
    <m/>
    <m/>
    <m/>
    <m/>
    <m/>
    <s v=""/>
    <x v="1"/>
    <m/>
    <s v="충북 진천군 이월면 진광로 486"/>
    <s v="674-53-00544"/>
    <x v="0"/>
    <x v="2"/>
    <s v="이창민"/>
    <s v="경기 평택시 청북읍 현곡산단로93번길 89    "/>
    <m/>
    <m/>
    <m/>
    <s v="세금계산서"/>
    <s v="일반"/>
    <s v="ASP발급"/>
    <s v="농협 118501000428 /  당월 내 미납시 가산금이 부과됩니다. 계약:13-0506823-23-23948"/>
    <s v="청구"/>
    <s v="10238003@chungho.co.kr"/>
    <s v="to.yn@telstareng.co.kr"/>
    <s v=""/>
    <s v=""/>
    <s v=""/>
    <s v="2026-05-08"/>
    <s v="렌탈료"/>
    <s v=""/>
    <s v="1"/>
    <s v="0"/>
    <n v="45364"/>
    <n v="4536"/>
    <s v=""/>
    <x v="4"/>
    <m/>
  </r>
  <r>
    <m/>
    <m/>
    <m/>
    <m/>
    <m/>
    <s v=""/>
    <x v="1"/>
    <m/>
    <s v="경기도 성남시 분당구 불정로 90"/>
    <s v="674-53-00544"/>
    <x v="0"/>
    <x v="2"/>
    <s v="이창민"/>
    <s v="경기 평택시 청북읍 현곡리 455-2번지 텔스타이엔지"/>
    <m/>
    <m/>
    <m/>
    <s v="세금계산서"/>
    <s v="일반"/>
    <s v="겸용서식발급"/>
    <s v="84 KOS, 명세서번호(청구계약ID) : 70026016426, 매출기관(사업장) : P546015"/>
    <s v="청구"/>
    <s v=""/>
    <s v=""/>
    <s v=""/>
    <s v=""/>
    <s v=""/>
    <s v=""/>
    <s v="일반전화 (003106827973)"/>
    <s v=""/>
    <s v="1"/>
    <s v="81,414"/>
    <n v="81414"/>
    <n v="8141"/>
    <s v=""/>
    <x v="4"/>
    <m/>
  </r>
  <r>
    <m/>
    <m/>
    <m/>
    <m/>
    <m/>
    <s v=""/>
    <x v="1"/>
    <m/>
    <s v="경기도 성남시 분당구 불정로 90"/>
    <s v="674-53-00544"/>
    <x v="0"/>
    <x v="2"/>
    <s v="이창민"/>
    <s v="경기 평택시 청북읍 현곡리 455-2번지 텔스타이엔지"/>
    <m/>
    <m/>
    <m/>
    <s v="세금계산서"/>
    <s v="일반"/>
    <s v="겸용서식발급"/>
    <s v="84 KOS, 명세서번호(청구계약ID) : 32030670593, 매출기관(사업장) : P546012"/>
    <s v="청구"/>
    <s v=""/>
    <s v=""/>
    <s v=""/>
    <s v=""/>
    <s v=""/>
    <s v=""/>
    <s v="오피스넷 슬림 (z!65161692974)"/>
    <s v=""/>
    <s v="1"/>
    <s v="132,000"/>
    <n v="132000"/>
    <n v="13200"/>
    <s v=""/>
    <x v="4"/>
    <m/>
  </r>
  <r>
    <m/>
    <m/>
    <m/>
    <m/>
    <m/>
    <s v=""/>
    <x v="1"/>
    <m/>
    <s v="서울특별시 강남구  학동로4길 10 301호 (논현동)"/>
    <s v="674-53-00544"/>
    <x v="0"/>
    <x v="2"/>
    <s v="이창민"/>
    <s v="경기 평택시 청북읍 현곡산단로93번길 89 (현곡리)"/>
    <m/>
    <m/>
    <m/>
    <s v="세금계산서"/>
    <s v="일반"/>
    <s v="ASP발급"/>
    <s v=""/>
    <s v="청구"/>
    <s v=""/>
    <s v="cmi72@cminsight.kr"/>
    <s v=""/>
    <s v=""/>
    <s v=""/>
    <s v="2026-05-04"/>
    <s v="성실신고확인수수료"/>
    <s v=""/>
    <s v=""/>
    <s v=""/>
    <n v="2500000"/>
    <n v="250000"/>
    <s v=""/>
    <x v="4"/>
    <m/>
  </r>
  <r>
    <s v="2026-05-31"/>
    <s v="20260531-42000191-83557546"/>
    <s v="2026-06-03"/>
    <s v="2026-06-03"/>
    <s v="129-86-31394"/>
    <s v=""/>
    <x v="1"/>
    <s v="김유원"/>
    <s v="경기 성남시 분당구 불정로 6 (정자동, 네이버 그린팩토리)"/>
    <s v="872-86-03255"/>
    <x v="0"/>
    <x v="0"/>
    <s v="이창민"/>
    <s v="경기도 평택시 청북읍 현곡산단로93번길 89 (청북읍) 텔스타 주식회사 (내 D동)"/>
    <m/>
    <m/>
    <m/>
    <s v="세금계산서"/>
    <s v="일반"/>
    <s v="자체발급"/>
    <s v="3274245"/>
    <s v="청구"/>
    <s v="nbpbilling@navercorp.com"/>
    <s v="cmi@cminsight.kr"/>
    <s v=""/>
    <s v=""/>
    <s v=""/>
    <s v="2026-05-31"/>
    <s v="매출(외상)_NCP-민간_씨엠인싸이트(주)_후불결제수단"/>
    <s v=""/>
    <s v=""/>
    <s v=""/>
    <n v="15900"/>
    <n v="1590"/>
    <s v=""/>
    <x v="0"/>
    <m/>
  </r>
  <r>
    <m/>
    <m/>
    <m/>
    <m/>
    <m/>
    <s v=""/>
    <x v="1"/>
    <m/>
    <s v="경기도 평택시 청북읍 청북새싹길 3((1층))"/>
    <s v="872-86-03255"/>
    <x v="0"/>
    <x v="0"/>
    <s v="이창민"/>
    <s v="수원시 영통구 대학4로17,316-32호(이의동,에이스광교)"/>
    <m/>
    <m/>
    <m/>
    <s v="세금계산서"/>
    <s v="일반"/>
    <s v="인터넷발급"/>
    <s v=""/>
    <s v="청구"/>
    <s v="hkbj5212@daum.net"/>
    <s v="cmi72@cminsight.kr"/>
    <s v=""/>
    <s v=""/>
    <s v=""/>
    <s v="2026-05-31"/>
    <s v="식대"/>
    <s v=""/>
    <s v=""/>
    <s v=""/>
    <n v="784000"/>
    <n v="78400"/>
    <s v=""/>
    <x v="4"/>
    <m/>
  </r>
  <r>
    <m/>
    <m/>
    <m/>
    <m/>
    <m/>
    <s v=""/>
    <x v="1"/>
    <m/>
    <s v="서울특별시 강남구 선릉로125길 14 (논현동, 삼성빌딩2층) "/>
    <s v="872-86-03255"/>
    <x v="0"/>
    <x v="0"/>
    <s v="이창민"/>
    <s v="경기도 평택시 청북읍 현곡산단로93번길 89, 디동"/>
    <m/>
    <m/>
    <m/>
    <s v="세금계산서"/>
    <s v="일반"/>
    <s v="ASP발급"/>
    <s v=""/>
    <s v="청구"/>
    <s v="jhkim@pntpat.com"/>
    <s v="changmin.lee@telstar.kr"/>
    <s v=""/>
    <s v=""/>
    <s v=""/>
    <s v="2026-05-29"/>
    <s v="출원번호 제10-2026-0096389호에 대한 특허출원"/>
    <s v=""/>
    <s v=""/>
    <s v=""/>
    <n v="1500000"/>
    <n v="150000"/>
    <s v=""/>
    <x v="4"/>
    <m/>
  </r>
  <r>
    <m/>
    <m/>
    <m/>
    <m/>
    <m/>
    <s v=""/>
    <x v="1"/>
    <m/>
    <s v="부산광역시 강서구 유통단지1로 41, 112동 2층 217호(대저2동, 부산티플렉스)"/>
    <s v="872-86-03255"/>
    <x v="0"/>
    <x v="0"/>
    <s v="이창민"/>
    <s v="경기도 평택시 청북읍 현곡산단로93번길 89, 디동"/>
    <m/>
    <m/>
    <m/>
    <s v="세금계산서"/>
    <s v="일반"/>
    <s v="인터넷발급"/>
    <s v=""/>
    <s v="청구"/>
    <s v="sgkorea32@naver.com"/>
    <s v="info@cminsight.kr"/>
    <s v=""/>
    <s v=""/>
    <s v=""/>
    <s v="2026-05-25"/>
    <s v="산업용 안전펜스(선금50%)"/>
    <s v=""/>
    <s v=""/>
    <s v=""/>
    <n v="12000000"/>
    <n v="1200000"/>
    <s v=""/>
    <x v="4"/>
    <m/>
  </r>
  <r>
    <m/>
    <m/>
    <m/>
    <m/>
    <m/>
    <s v=""/>
    <x v="1"/>
    <m/>
    <s v="경기도 평택시 청북읍 현곡산단로93번길 89"/>
    <s v="872-86-03255"/>
    <x v="0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5-21"/>
    <s v="HEV공사건"/>
    <s v=""/>
    <s v=""/>
    <s v=""/>
    <n v="10000000"/>
    <n v="1000000"/>
    <s v=""/>
    <x v="4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s v=""/>
    <x v="1"/>
    <m/>
    <s v="서울특별시 강남구  학동로4길 10 301호 (논현동)"/>
    <s v="872-86-03255"/>
    <x v="0"/>
    <x v="0"/>
    <s v="이창민"/>
    <s v="경기 평택시 청북읍 현곡산단로93번길 89 디동(현곡리)"/>
    <m/>
    <m/>
    <m/>
    <s v="세금계산서"/>
    <s v="일반"/>
    <s v="ASP발급"/>
    <s v=""/>
    <s v="청구"/>
    <s v=""/>
    <s v="cmi72@cminsight.kr"/>
    <s v=""/>
    <s v=""/>
    <s v=""/>
    <s v="2026-05-20"/>
    <s v="5월 기장료"/>
    <s v=""/>
    <s v=""/>
    <s v=""/>
    <n v="200000"/>
    <n v="20000"/>
    <s v=""/>
    <x v="4"/>
    <m/>
  </r>
  <r>
    <m/>
    <m/>
    <m/>
    <m/>
    <m/>
    <s v=""/>
    <x v="1"/>
    <m/>
    <s v="경기도 화성시 효행구 정남면 만년로98번길 123, 1층"/>
    <s v="872-86-03255"/>
    <x v="0"/>
    <x v="0"/>
    <s v="이창민"/>
    <s v="경기도 수원시 영통구 대학4로 17, 316-32호(이의동, 에이스광교 타워1차)"/>
    <m/>
    <m/>
    <m/>
    <s v="세금계산서"/>
    <s v="일반"/>
    <s v="인터넷발급"/>
    <s v=""/>
    <s v="청구"/>
    <s v="inkfill@naver.com"/>
    <s v="to.yn@telstareng.co.kr"/>
    <s v=""/>
    <s v=""/>
    <s v=""/>
    <s v="2026-05-19"/>
    <s v="SNT 리어 엑셀 하우징 반입반출 컨베어"/>
    <s v=""/>
    <s v="1"/>
    <s v="5,500,000"/>
    <n v="5500000"/>
    <n v="550000"/>
    <s v=""/>
    <x v="4"/>
    <m/>
  </r>
  <r>
    <m/>
    <m/>
    <m/>
    <m/>
    <m/>
    <s v=""/>
    <x v="1"/>
    <m/>
    <s v="경기도 화성시 효행구 정남면 만년로98번길 123, 1층"/>
    <s v="872-86-03255"/>
    <x v="0"/>
    <x v="0"/>
    <s v="이창민"/>
    <s v="경기도 수원시 영통구 대학4로 17, 316-32호(이의동, 에이스광교 타워1차)"/>
    <m/>
    <m/>
    <m/>
    <s v="세금계산서"/>
    <s v="일반"/>
    <s v="인터넷발급"/>
    <s v=""/>
    <s v="청구"/>
    <s v="inkfill@naver.com"/>
    <s v="to.yn@telstareng.co.kr"/>
    <s v=""/>
    <s v=""/>
    <s v=""/>
    <s v="2026-05-19"/>
    <s v="PDL 조립 LINE 추가 "/>
    <s v=""/>
    <s v="1"/>
    <s v="2,000,000"/>
    <n v="2000000"/>
    <n v="200000"/>
    <s v=""/>
    <x v="4"/>
    <m/>
  </r>
  <r>
    <m/>
    <m/>
    <m/>
    <m/>
    <m/>
    <s v=""/>
    <x v="1"/>
    <m/>
    <s v="경기도 화성시 효행구 정남면 만년로98번길 123, 1층"/>
    <s v="872-86-03255"/>
    <x v="0"/>
    <x v="0"/>
    <s v="이창민"/>
    <s v="경기도 수원시 영통구 대학4로 17, 316-32호(이의동, 에이스광교 타워1차)"/>
    <m/>
    <m/>
    <m/>
    <s v="세금계산서"/>
    <s v="일반"/>
    <s v="인터넷발급"/>
    <s v=""/>
    <s v="청구"/>
    <s v="inkfill@naver.com"/>
    <s v="to.yn@telstareng.co.kr"/>
    <s v=""/>
    <s v=""/>
    <s v=""/>
    <s v="2026-05-19"/>
    <s v="창원위아 리어 엑셀 기종 추가 개조"/>
    <s v=""/>
    <s v="1"/>
    <s v="4,000,000"/>
    <n v="4000000"/>
    <n v="400000"/>
    <s v=""/>
    <x v="4"/>
    <m/>
  </r>
  <r>
    <m/>
    <m/>
    <m/>
    <m/>
    <m/>
    <s v=""/>
    <x v="1"/>
    <m/>
    <s v="서울특별시 강남구 선릉로125길 14 (논현동, 삼성빌딩2층) "/>
    <s v="872-86-03255"/>
    <x v="0"/>
    <x v="0"/>
    <s v="이창민"/>
    <s v="경기도 평택시 청북읍 현곡산단로93번길 89, 디동"/>
    <m/>
    <m/>
    <m/>
    <s v="세금계산서"/>
    <s v="일반"/>
    <s v="ASP발급"/>
    <s v=""/>
    <s v="영수"/>
    <s v="jhkim@pntpat.com"/>
    <s v="to.yn@telstareng.co.kr"/>
    <s v=""/>
    <s v=""/>
    <s v=""/>
    <s v="2026-05-15"/>
    <s v="출원번호 제10-2026-0081586호에 대한 특허출원"/>
    <s v=""/>
    <s v=""/>
    <s v=""/>
    <n v="900000"/>
    <n v="90000"/>
    <s v=""/>
    <x v="4"/>
    <m/>
  </r>
  <r>
    <m/>
    <m/>
    <m/>
    <m/>
    <m/>
    <s v=""/>
    <x v="1"/>
    <m/>
    <s v="서울특별시 강남구 선릉로125길 14 (논현동, 삼성빌딩2층) "/>
    <s v="872-86-03255"/>
    <x v="0"/>
    <x v="0"/>
    <s v="이창민"/>
    <s v="경기도 평택시 청북읍 현곡산단로93번길 89, 디동"/>
    <m/>
    <m/>
    <m/>
    <s v="세금계산서"/>
    <s v="일반"/>
    <s v="ASP발급"/>
    <s v=""/>
    <s v="영수"/>
    <s v="jhkim@pntpat.com"/>
    <s v="to.yn@telstareng.co."/>
    <s v=""/>
    <s v=""/>
    <s v=""/>
    <s v="2026-05-15"/>
    <s v="출원번호 제10-2026-0082439호에 대한 특허출원"/>
    <s v=""/>
    <s v=""/>
    <s v=""/>
    <n v="900000"/>
    <n v="90000"/>
    <s v=""/>
    <x v="4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s v=""/>
    <x v="1"/>
    <m/>
    <s v="경기도 수원시 영통구 신원로250번길 13, 에이동 1223호(원천동, 현대 테라타워 영통)"/>
    <s v="872-86-03255"/>
    <x v="0"/>
    <x v="0"/>
    <s v="이창민"/>
    <s v="경기도 평택시 청북읍 현곡산단로93번길 89, 디동"/>
    <m/>
    <m/>
    <m/>
    <s v="세금계산서"/>
    <s v="일반"/>
    <s v="인터넷발급"/>
    <s v=""/>
    <s v="청구"/>
    <s v="idealman00@naver.com"/>
    <s v="cmi72@cminsight.kr"/>
    <s v=""/>
    <s v=""/>
    <s v=""/>
    <s v="2026-05-11"/>
    <s v="추가설계"/>
    <s v=""/>
    <s v="1"/>
    <s v="1,800,000"/>
    <n v="1800000"/>
    <n v="180000"/>
    <s v=""/>
    <x v="4"/>
    <m/>
  </r>
  <r>
    <m/>
    <m/>
    <m/>
    <m/>
    <m/>
    <s v=""/>
    <x v="1"/>
    <m/>
    <s v="경기도 수원시 영통구 신원로250번길 13, 에이동 1223호(원천동, 현대 테라타워 영통)"/>
    <s v="872-86-03255"/>
    <x v="0"/>
    <x v="0"/>
    <s v="이창민"/>
    <s v="경기도 평택시 청북읍 현곡산단로93번길 89, 디동"/>
    <m/>
    <m/>
    <m/>
    <s v="세금계산서"/>
    <s v="일반"/>
    <s v="인터넷발급"/>
    <s v=""/>
    <s v="청구"/>
    <s v="idealman00@naver.com"/>
    <s v="cmi72@cminsight.kr"/>
    <s v=""/>
    <s v=""/>
    <s v=""/>
    <s v="2026-05-11"/>
    <s v="레이저 자동용접기 설계 잔금"/>
    <s v=""/>
    <s v="1"/>
    <s v="6,500,000"/>
    <n v="6500000"/>
    <n v="650000"/>
    <s v=""/>
    <x v="4"/>
    <m/>
  </r>
  <r>
    <m/>
    <m/>
    <m/>
    <m/>
    <m/>
    <s v=""/>
    <x v="1"/>
    <m/>
    <s v="경기도 평택시 청북읍 현곡산단로93번길 89"/>
    <s v="872-86-03255"/>
    <x v="0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5-13"/>
    <s v="액슬샤프트조립라인외"/>
    <s v=""/>
    <s v=""/>
    <s v=""/>
    <n v="93259435"/>
    <n v="9325944"/>
    <s v=""/>
    <x v="4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s v=""/>
    <x v="1"/>
    <m/>
    <s v="경기도 평택시 청북읍 현곡산단로93번길 89"/>
    <s v="872-86-03255"/>
    <x v="0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5-10"/>
    <s v="엑슬샤프트조립라인(태양전주)"/>
    <s v=""/>
    <s v=""/>
    <s v=""/>
    <n v="70000000"/>
    <n v="7000000"/>
    <s v=""/>
    <x v="4"/>
    <m/>
  </r>
  <r>
    <s v="2026-05-07"/>
    <s v="20260507-10260507-30834583"/>
    <s v="2026-05-07"/>
    <s v="2026-05-07"/>
    <s v="736-03-01244"/>
    <s v=""/>
    <x v="1"/>
    <m/>
    <m/>
    <m/>
    <x v="1"/>
    <x v="0"/>
    <s v="이창민"/>
    <s v="경기도 평택시 청북읍 현곡산단로93번길 89, 디동"/>
    <m/>
    <m/>
    <m/>
    <s v="세금계산서"/>
    <s v="일반"/>
    <s v="인터넷발급"/>
    <s v=""/>
    <s v="청구"/>
    <s v="sanginjo1004@hanmail.net"/>
    <s v="info@cminsight.kr"/>
    <s v=""/>
    <s v=""/>
    <s v=""/>
    <s v="2026-05-07"/>
    <s v="#40 쿨러커버이재&amp;BOLT드랍방지 설계비 계약급50%"/>
    <s v="식"/>
    <s v="1"/>
    <s v="1,250,000"/>
    <n v="1250000"/>
    <n v="125000"/>
    <s v=""/>
    <x v="0"/>
    <m/>
  </r>
  <r>
    <m/>
    <m/>
    <m/>
    <m/>
    <m/>
    <s v=""/>
    <x v="1"/>
    <m/>
    <s v="경기도 안성시 중앙로 327, 2공학관 416-2호(석정동, 한경대학교)"/>
    <s v="872-86-03255"/>
    <x v="0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계사 Data Gathering Program"/>
    <s v="데이터 수집 소프트웨어"/>
    <s v="1"/>
    <s v="5,750,000"/>
    <n v="5750000"/>
    <n v="575000"/>
    <s v="선급금"/>
    <x v="4"/>
    <m/>
  </r>
  <r>
    <m/>
    <m/>
    <m/>
    <m/>
    <m/>
    <s v=""/>
    <x v="1"/>
    <m/>
    <s v="경기도 안성시 중앙로 327, 2공학관 416-2호(석정동, 한경대학교)"/>
    <s v="872-86-03255"/>
    <x v="0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FF_PCB Part Tracking System"/>
    <s v="Flat Flexible PCB QR 코드 리딩 및 외관사진 저장"/>
    <s v="1"/>
    <s v="5,500,000"/>
    <n v="5500000"/>
    <n v="550000"/>
    <s v="선급금"/>
    <x v="4"/>
    <m/>
  </r>
  <r>
    <s v="2026-06-30"/>
    <s v="20260630-42000191-84473378"/>
    <s v="2026-07-03"/>
    <s v="2026-07-03"/>
    <s v="129-86-31394"/>
    <s v=""/>
    <x v="1"/>
    <s v="김유원"/>
    <s v="경기 성남시 분당구 불정로 6 (정자동, 네이버 그린팩토리)"/>
    <s v="872-86-03255"/>
    <x v="0"/>
    <x v="0"/>
    <s v="이창민"/>
    <s v="경기도 평택시 청북읍 현곡산단로93번길 89 (청북읍) 텔스타 주식회사 (내 D동)"/>
    <m/>
    <m/>
    <m/>
    <s v="세금계산서"/>
    <s v="일반"/>
    <s v="자체발급"/>
    <s v="3274245"/>
    <s v="청구"/>
    <s v="nbpbilling@navercorp.com"/>
    <s v="cmi@cminsight.kr"/>
    <s v=""/>
    <s v=""/>
    <s v=""/>
    <s v="2026-06-30"/>
    <s v="매출(외상)_NCP-민간_씨엠인싸이트(주)_후불결제수단"/>
    <s v=""/>
    <s v=""/>
    <s v=""/>
    <n v="4600"/>
    <n v="460"/>
    <s v=""/>
    <x v="1"/>
    <m/>
  </r>
  <r>
    <s v="2026-06-30"/>
    <s v="20260630-41000026-n94gotno"/>
    <s v="2026-07-03"/>
    <s v="2026-07-03"/>
    <s v="214-86-35102"/>
    <s v=""/>
    <x v="1"/>
    <s v="강원주"/>
    <s v="서울특별시 영등포구 영신로 220 (영등포동8가, KnK디지털타워) 20층"/>
    <s v="872-86-03255"/>
    <x v="0"/>
    <x v="0"/>
    <s v="X"/>
    <s v=""/>
    <m/>
    <m/>
    <m/>
    <s v="세금계산서"/>
    <s v="일반"/>
    <s v="ASP발급"/>
    <s v=""/>
    <s v="청구"/>
    <s v=""/>
    <s v="to.yn@telstareng.co.kr"/>
    <s v=""/>
    <s v=""/>
    <s v=""/>
    <s v="2026-06-30"/>
    <s v="AI경리나라 표준형 2026.06월분 월정료"/>
    <s v=""/>
    <s v="1"/>
    <s v="57,500"/>
    <n v="57500"/>
    <n v="5750"/>
    <s v=""/>
    <x v="1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m/>
    <x v="1"/>
    <m/>
    <s v="경기도 하남시 덕풍로65번길 22(덕풍동)"/>
    <s v="872-86-03255"/>
    <x v="0"/>
    <x v="0"/>
    <s v="이창민"/>
    <s v="경기도 평택시 현곡산단로93번길 89, D동"/>
    <m/>
    <m/>
    <m/>
    <s v="세금계산서"/>
    <s v="일반"/>
    <s v="인터넷발급"/>
    <s v=""/>
    <s v="영수"/>
    <s v="cp7467@nate.com"/>
    <s v="cmi72@cminsight.kr"/>
    <s v=""/>
    <s v=""/>
    <s v=""/>
    <s v="2026-06-26"/>
    <s v="조명"/>
    <s v=""/>
    <s v=""/>
    <s v=""/>
    <n v="50000"/>
    <n v="5000"/>
    <s v=""/>
    <x v="1"/>
    <m/>
  </r>
  <r>
    <m/>
    <m/>
    <m/>
    <m/>
    <m/>
    <m/>
    <x v="1"/>
    <m/>
    <s v="경기도 화성시 동탄구 동탄순환대로20길 45, 2130동 903호(목동, 동탄 금강펜테리움 센트럴파크Ⅳ)"/>
    <s v="872-86-03255"/>
    <x v="0"/>
    <x v="0"/>
    <s v="이창민"/>
    <s v="경기도 평택시 현곡산단로93번길 89"/>
    <m/>
    <m/>
    <m/>
    <s v="세금계산서"/>
    <s v="일반"/>
    <s v="인터넷발급"/>
    <s v="문래동:완주운송건"/>
    <s v="청구"/>
    <s v="byoungki@daum.net"/>
    <s v="info@cminsight.kr"/>
    <s v="info@cminsight.kr"/>
    <s v=""/>
    <s v=""/>
    <s v="2026-06-26"/>
    <s v="화물운송료(문래동:완주운송건)"/>
    <s v=""/>
    <s v=""/>
    <s v=""/>
    <n v="170000"/>
    <n v="17000"/>
    <s v=""/>
    <x v="1"/>
    <m/>
  </r>
  <r>
    <m/>
    <m/>
    <m/>
    <m/>
    <m/>
    <m/>
    <x v="1"/>
    <m/>
    <s v="서울특별시 마포구 독막로8길 49, 5층(합정동, 유니타워)"/>
    <s v="872-86-03255"/>
    <x v="0"/>
    <x v="0"/>
    <s v="이창민"/>
    <s v="경기도 평택시 청북읍 현곡산단로93번길 89, 디동"/>
    <m/>
    <m/>
    <m/>
    <s v="세금계산서"/>
    <s v="일반"/>
    <s v="인터넷발급"/>
    <s v=""/>
    <s v="영수"/>
    <s v="hello@alicemobile.co.kr"/>
    <s v="info@cminsight.kr"/>
    <s v="cmi72@cminsight.kr"/>
    <s v=""/>
    <s v=""/>
    <s v="2026-06-26"/>
    <s v="포켓와이파이 하트여왕 MAX 신규 1개월"/>
    <s v=""/>
    <s v="1"/>
    <s v="54,900"/>
    <n v="49909"/>
    <n v="4991"/>
    <s v=""/>
    <x v="1"/>
    <m/>
  </r>
  <r>
    <s v="2026-06-24"/>
    <s v="20260624-41000185-00835111"/>
    <s v="2026-06-24"/>
    <s v="2026-06-24"/>
    <s v="124-85-58542"/>
    <s v=""/>
    <x v="1"/>
    <m/>
    <s v="경기 화성 향남 하길리 1411-2 발안코아유통 A동101~103호"/>
    <s v="872-86-03255"/>
    <x v="0"/>
    <x v="0"/>
    <s v="이창민"/>
    <s v="평택시 청북읍 현곡산단로93번길 89,디동"/>
    <m/>
    <m/>
    <m/>
    <s v="세금계산서"/>
    <s v="일반"/>
    <s v="ASP발급"/>
    <s v=""/>
    <s v="청구"/>
    <s v="djgfbolt@gmail.com"/>
    <s v="info@sminsight.kr"/>
    <s v=""/>
    <s v=""/>
    <s v=""/>
    <s v="2026-06-24"/>
    <s v="SCM 렌지볼트(니켈)"/>
    <s v=""/>
    <s v="500"/>
    <s v="19"/>
    <n v="9500"/>
    <n v="950"/>
    <s v=""/>
    <x v="1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m/>
    <x v="1"/>
    <m/>
    <s v="경기도 남양주시 다산지금로 202, 비동 10층 1001,1002,1003호(다산동, 현대디아이엠씨테라타워)"/>
    <s v="872-86-03255"/>
    <x v="0"/>
    <x v="0"/>
    <s v="이창민 "/>
    <s v="경기도 평택시 청북읍 현곡산단로93번길 89, 디동 "/>
    <m/>
    <m/>
    <m/>
    <s v="세금계산서"/>
    <s v="일반"/>
    <s v="인터넷발급"/>
    <s v=""/>
    <s v="청구"/>
    <s v="yjlager@naver.com"/>
    <s v="info@sminsight.kr"/>
    <s v=""/>
    <s v=""/>
    <s v=""/>
    <s v="2026-06-24"/>
    <s v="TZE231 "/>
    <s v=""/>
    <s v=""/>
    <s v=""/>
    <n v="151636"/>
    <n v="15164"/>
    <s v=""/>
    <x v="1"/>
    <m/>
  </r>
  <r>
    <s v="2026-06-24"/>
    <s v="20260624-10260624-76631078"/>
    <s v="2026-06-24"/>
    <s v="2026-06-24"/>
    <s v="674-53-00544"/>
    <s v=""/>
    <x v="1"/>
    <s v="이창민"/>
    <s v="경기도 평택시 청북읍 현곡산단로93번길 89"/>
    <s v="872-86-03255"/>
    <x v="0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6-24"/>
    <s v="시스템알앤디 파워모듈신작 기계제작비"/>
    <s v=""/>
    <s v=""/>
    <s v=""/>
    <n v="18181819"/>
    <n v="1818181"/>
    <s v=""/>
    <x v="1"/>
    <m/>
  </r>
  <r>
    <m/>
    <m/>
    <m/>
    <m/>
    <m/>
    <m/>
    <x v="1"/>
    <m/>
    <s v="경기도 남양주시 다산지금로 202, 비동 10층 1001,1002,1003호(다산동, 현대디아이엠씨테라타워)"/>
    <s v="872-86-03255"/>
    <x v="0"/>
    <x v="0"/>
    <s v="이창민 "/>
    <s v="경기도 평택시 청북읍 현곡산단로93번길 89, 디동 "/>
    <m/>
    <m/>
    <m/>
    <s v="세금계산서"/>
    <s v="일반"/>
    <s v="인터넷발급"/>
    <s v=""/>
    <s v="청구"/>
    <s v="yjlager@naver.com"/>
    <s v="info@sminsight.kr"/>
    <s v=""/>
    <s v=""/>
    <s v=""/>
    <s v="2026-06-24"/>
    <s v="PT-P900W "/>
    <s v=""/>
    <s v=""/>
    <s v=""/>
    <n v="429909"/>
    <n v="42991"/>
    <s v=""/>
    <x v="1"/>
    <m/>
  </r>
  <r>
    <s v="2026-06-22"/>
    <s v="20260622-41000115-6f1inkht"/>
    <s v="2026-06-22"/>
    <s v="2026-06-22"/>
    <s v="211-86-78437"/>
    <s v=""/>
    <x v="1"/>
    <s v="제임스 오스키"/>
    <s v="서울특별시 중구 퇴계로 100 (회현동2가, 스테이트타워 남산) 1101호  "/>
    <s v="872-86-03255"/>
    <x v="0"/>
    <x v="0"/>
    <s v="이창민"/>
    <s v="경기도 수원시 영통구 대학4로 17 (이의동) 316-32호"/>
    <m/>
    <m/>
    <m/>
    <s v="세금계산서"/>
    <s v="일반"/>
    <s v="ASP발급"/>
    <s v="236호8021/WBA21FJ05TCW63510"/>
    <s v="청구"/>
    <s v=""/>
    <s v="cmi@cminsight.kr"/>
    <s v=""/>
    <s v=""/>
    <s v=""/>
    <s v="2026-06-22"/>
    <s v="임대료"/>
    <s v=""/>
    <s v="1"/>
    <s v="972,000"/>
    <n v="972000"/>
    <n v="97200"/>
    <s v="임대료수납"/>
    <x v="1"/>
    <m/>
  </r>
  <r>
    <s v="2026-06-20"/>
    <s v="20260620-41000096-41747580"/>
    <s v="2026-06-26"/>
    <s v="2026-06-27"/>
    <s v="211-85-73982"/>
    <s v=""/>
    <x v="1"/>
    <s v="임봉수"/>
    <s v="서울특별시 강남구  학동로4길 10 301호 (논현동)"/>
    <s v="872-86-03255"/>
    <x v="0"/>
    <x v="0"/>
    <s v="이창민"/>
    <s v="경기 평택시 청북읍 현곡산단로93번길 89 디동(현곡리)"/>
    <m/>
    <m/>
    <m/>
    <s v="세금계산서"/>
    <s v="일반"/>
    <s v="ASP발급"/>
    <s v=""/>
    <s v="청구"/>
    <s v=""/>
    <s v="cmi72@cminsight.kr"/>
    <s v=""/>
    <s v=""/>
    <s v=""/>
    <s v="2026-06-20"/>
    <s v="6월 기장료"/>
    <s v=""/>
    <s v=""/>
    <s v=""/>
    <n v="200000"/>
    <n v="20000"/>
    <s v=""/>
    <x v="1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m/>
    <m/>
    <m/>
    <m/>
    <m/>
    <m/>
    <x v="1"/>
    <m/>
    <m/>
    <m/>
    <x v="1"/>
    <x v="1"/>
    <m/>
    <m/>
    <m/>
    <m/>
    <m/>
    <m/>
    <m/>
    <m/>
    <m/>
    <m/>
    <m/>
    <m/>
    <m/>
    <m/>
    <m/>
    <m/>
    <m/>
    <m/>
    <m/>
    <m/>
    <m/>
    <m/>
    <m/>
    <x v="4"/>
    <m/>
  </r>
  <r>
    <s v="2026-06-08"/>
    <s v="20260608-10260608-62231665"/>
    <s v="2026-06-08"/>
    <s v="2026-06-08"/>
    <s v="674-53-00544"/>
    <s v=""/>
    <x v="1"/>
    <s v="이창민"/>
    <s v="경기도 평택시 청북읍 현곡산단로93번길 89"/>
    <s v="872-86-03255"/>
    <x v="0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6-08"/>
    <s v="시스템알앤디 파워모듈신작 건"/>
    <s v=""/>
    <s v=""/>
    <s v=""/>
    <n v="60000000"/>
    <n v="6000000"/>
    <s v=""/>
    <x v="1"/>
    <m/>
  </r>
  <r>
    <m/>
    <m/>
    <m/>
    <m/>
    <m/>
    <m/>
    <x v="1"/>
    <m/>
    <s v="충청남도 천안시 서북구 직산읍 부송로 165-23"/>
    <s v="872-86-03255"/>
    <x v="0"/>
    <x v="0"/>
    <s v="이창민"/>
    <s v="경기도 평택시 청북읍 현곡산단로93번길89"/>
    <m/>
    <m/>
    <m/>
    <m/>
    <m/>
    <m/>
    <m/>
    <m/>
    <m/>
    <m/>
    <m/>
    <m/>
    <m/>
    <m/>
    <m/>
    <m/>
    <m/>
    <m/>
    <m/>
    <m/>
    <m/>
    <x v="4"/>
    <m/>
  </r>
  <r>
    <s v="2026-06-26"/>
    <s v="20260626-10260626-78453238"/>
    <s v="2026-06-26"/>
    <s v="2026-06-26"/>
    <s v="120-87-63412"/>
    <s v=""/>
    <x v="1"/>
    <m/>
    <m/>
    <s v="674-53-00544"/>
    <x v="0"/>
    <x v="2"/>
    <s v="이창민"/>
    <s v="경기도 평택시 청북읍 현곡산단로93번길 89()"/>
    <m/>
    <m/>
    <m/>
    <s v="세금계산서"/>
    <s v="일반"/>
    <s v="인터넷발급"/>
    <s v=""/>
    <s v="청구"/>
    <s v="hyunpyo76@naver.com"/>
    <s v="cmi72@cminsight.kr"/>
    <s v=""/>
    <s v=""/>
    <s v=""/>
    <s v="2026-06-25"/>
    <s v="수수료"/>
    <s v=""/>
    <s v=""/>
    <s v=""/>
    <n v="1800000"/>
    <n v="180000"/>
    <s v=""/>
    <x v="1"/>
    <m/>
  </r>
  <r>
    <s v="2026-06-25"/>
    <s v="20260625-41000222-00001420"/>
    <s v="2026-06-25"/>
    <s v="2026-06-25"/>
    <s v="113-22-90402"/>
    <s v=""/>
    <x v="1"/>
    <s v="조동우"/>
    <s v="서울 구로구 구로동로47길 21"/>
    <s v="674-53-00544"/>
    <x v="0"/>
    <x v="2"/>
    <s v="전연아"/>
    <s v="경기 평택시 청북읍 현곡산단로93번길 89"/>
    <m/>
    <m/>
    <m/>
    <s v="세금계산서"/>
    <s v="일반"/>
    <s v="ASP발급"/>
    <s v=""/>
    <s v="청구"/>
    <s v="Tax@hisindoh.kr"/>
    <s v="telstareng@telstareng.co.kr"/>
    <s v=""/>
    <s v=""/>
    <s v=""/>
    <s v="2026-06-25"/>
    <s v="흑백A4 임대료(기본 - 기본)"/>
    <s v=""/>
    <s v="3,000"/>
    <s v="0"/>
    <n v="120000"/>
    <n v="12000"/>
    <s v="본사"/>
    <x v="1"/>
    <m/>
  </r>
  <r>
    <s v="2026-06-20"/>
    <s v="20260620-41000096-41747581"/>
    <s v="2026-06-26"/>
    <s v="2026-06-27"/>
    <s v="211-85-73982"/>
    <s v=""/>
    <x v="1"/>
    <s v="임봉수"/>
    <s v="서울특별시 강남구  학동로4길 10 301호 (논현동)"/>
    <s v="674-53-00544"/>
    <x v="0"/>
    <x v="2"/>
    <s v="이창민"/>
    <s v="경기 평택시 청북읍 현곡산단로93번길 89 (현곡리)"/>
    <m/>
    <m/>
    <m/>
    <s v="세금계산서"/>
    <s v="일반"/>
    <s v="ASP발급"/>
    <s v=""/>
    <s v="청구"/>
    <s v=""/>
    <s v="cmi72@cminsight.kr"/>
    <s v=""/>
    <s v=""/>
    <s v=""/>
    <s v="2026-06-20"/>
    <s v="6월 기장료"/>
    <s v=""/>
    <s v=""/>
    <s v=""/>
    <n v="100000"/>
    <n v="10000"/>
    <s v=""/>
    <x v="1"/>
    <m/>
  </r>
  <r>
    <s v="2026-06-09"/>
    <s v="20260609-41000008-fby81nfg"/>
    <s v="2026-06-09"/>
    <s v="2026-06-10"/>
    <s v="130-81-49813"/>
    <s v=""/>
    <x v="1"/>
    <m/>
    <m/>
    <m/>
    <x v="0"/>
    <x v="2"/>
    <s v="이창민"/>
    <s v="경기 평택시 청북읍 현곡산단로93번길 89    "/>
    <m/>
    <m/>
    <m/>
    <s v="세금계산서"/>
    <s v="일반"/>
    <s v="ASP발급"/>
    <s v="농협 118501000428 /  당월 내 미납시 가산금이 부과됩니다. 계약:13-0506823-23-23948"/>
    <s v="청구"/>
    <s v="10238003@chungho.co.kr"/>
    <s v="to.yn@telstareng.co.kr"/>
    <s v=""/>
    <s v=""/>
    <s v=""/>
    <s v="2026-06-09"/>
    <s v="렌탈료"/>
    <s v=""/>
    <s v="1"/>
    <s v="0"/>
    <n v="45364"/>
    <n v="4536"/>
    <s v=""/>
    <x v="1"/>
    <m/>
  </r>
  <r>
    <s v="2026-06-06"/>
    <s v="20260606-50000002-j8968198"/>
    <s v="2026-06-25"/>
    <s v="2026-06-26"/>
    <s v="102-81-42945"/>
    <s v=""/>
    <x v="1"/>
    <s v="박윤영"/>
    <s v="경기도 성남시 분당구 불정로 90"/>
    <s v="674-53-00544"/>
    <x v="0"/>
    <x v="2"/>
    <s v="이창민"/>
    <s v="경기 평택시 청북읍 현곡리 455-2번지 텔스타이엔지"/>
    <m/>
    <m/>
    <m/>
    <s v="세금계산서"/>
    <s v="일반"/>
    <s v="겸용서식발급"/>
    <s v="84 KOS, 명세서번호(청구계약ID) : 32030670593, 매출기관(사업장) : P555160"/>
    <s v="청구"/>
    <s v=""/>
    <s v=""/>
    <s v=""/>
    <s v=""/>
    <s v=""/>
    <s v=""/>
    <s v="오피스넷 슬림 (z!65161692974)"/>
    <s v=""/>
    <s v="1"/>
    <s v="132,000"/>
    <n v="132000"/>
    <n v="13200"/>
    <s v=""/>
    <x v="1"/>
    <m/>
  </r>
  <r>
    <s v="2026-06-06"/>
    <s v="20260606-50000002-j8322608"/>
    <s v="2026-06-25"/>
    <s v="2026-06-26"/>
    <s v="102-81-42945"/>
    <s v=""/>
    <x v="1"/>
    <s v="박윤영"/>
    <s v="경기도 성남시 분당구 불정로 90"/>
    <s v="674-53-00544"/>
    <x v="0"/>
    <x v="2"/>
    <s v="이창민"/>
    <s v="경기 평택시 청북읍 현곡리 455-2번지 텔스타이엔지"/>
    <m/>
    <m/>
    <m/>
    <s v="세금계산서"/>
    <s v="일반"/>
    <s v="겸용서식발급"/>
    <s v="84 KOS, 명세서번호(청구계약ID) : 70026016426, 매출기관(사업장) : P555179"/>
    <s v="청구"/>
    <s v=""/>
    <s v=""/>
    <s v=""/>
    <s v=""/>
    <s v=""/>
    <s v=""/>
    <s v="일반전화 (003106827973)"/>
    <s v=""/>
    <s v="1"/>
    <s v="81,038"/>
    <n v="81038"/>
    <n v="8103"/>
    <s v=""/>
    <x v="1"/>
    <m/>
  </r>
  <r>
    <s v="2026-06-05"/>
    <s v="20260605-10260605-58929604"/>
    <s v="2026-06-05"/>
    <s v="2026-06-05"/>
    <s v="251-86-00811"/>
    <s v=""/>
    <x v="1"/>
    <m/>
    <s v="경기도 오산시 수목원로 606, 307호(세교동)"/>
    <s v="674-53-00544"/>
    <x v="0"/>
    <x v="2"/>
    <s v="이창민"/>
    <s v="경기도 평택시 청북읍 현곡산단로 93번길 89"/>
    <m/>
    <m/>
    <m/>
    <s v="세금계산서"/>
    <s v="일반"/>
    <s v="인터넷발급"/>
    <s v=""/>
    <s v="영수"/>
    <s v="bk-2014@naver.com"/>
    <s v="cmi@cminsight.kr"/>
    <s v=""/>
    <s v=""/>
    <s v=""/>
    <s v="2026-06-05"/>
    <s v="옹벽보수"/>
    <s v=""/>
    <s v=""/>
    <s v=""/>
    <n v="10947000"/>
    <n v="1094700"/>
    <s v=""/>
    <x v="1"/>
    <m/>
  </r>
  <r>
    <s v="2026-06-04"/>
    <s v="20260604-10260604-58553016"/>
    <s v="2026-06-04"/>
    <s v="2026-06-04"/>
    <s v="395-47-01052"/>
    <s v=""/>
    <x v="1"/>
    <s v="정경섭"/>
    <s v="경기도 이천시 애련정로163번길 8, 401호(증포동)"/>
    <s v="674-53-00544"/>
    <x v="0"/>
    <x v="2"/>
    <s v="이창민"/>
    <s v="경기도 평택시 청북읍 현곡산단로93번길 89"/>
    <m/>
    <m/>
    <m/>
    <s v="세금계산서"/>
    <s v="일반"/>
    <s v="인터넷발급"/>
    <s v=""/>
    <s v="청구"/>
    <s v="cajmizo@gmail.com"/>
    <s v=""/>
    <s v=""/>
    <s v=""/>
    <s v=""/>
    <s v="2026-06-04"/>
    <s v="조경공사"/>
    <s v=""/>
    <s v=""/>
    <s v=""/>
    <n v="2925000"/>
    <n v="292500"/>
    <s v="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EDED4-F6D9-4FD0-BD54-7D629AB5680B}" name="피벗 테이블1" cacheId="15" dataOnRows="1" applyNumberFormats="0" applyBorderFormats="0" applyFontFormats="0" applyPatternFormats="0" applyAlignmentFormats="0" applyWidthHeightFormats="1" dataCaption="데이터" updatedVersion="8" minRefreshableVersion="3" showMemberPropertyTips="0" itemPrintTitles="1" createdVersion="8" indent="0" compact="0" compactData="0" gridDropZones="1">
  <location ref="A3:G23" firstHeaderRow="1" firstDataRow="2" firstDataCol="1" rowPageCount="1" colPageCount="1"/>
  <pivotFields count="37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29">
        <item x="0"/>
        <item x="2"/>
        <item x="3"/>
        <item m="1" x="63"/>
        <item m="1" x="66"/>
        <item x="4"/>
        <item m="1" x="60"/>
        <item m="1" x="92"/>
        <item m="1" x="70"/>
        <item x="6"/>
        <item m="1" x="42"/>
        <item x="7"/>
        <item m="1" x="62"/>
        <item m="1" x="72"/>
        <item m="1" x="18"/>
        <item m="1" x="87"/>
        <item m="1" x="45"/>
        <item m="1" x="37"/>
        <item m="1" x="46"/>
        <item m="1" x="88"/>
        <item m="1" x="57"/>
        <item m="1" x="67"/>
        <item m="1" x="20"/>
        <item m="1" x="80"/>
        <item m="1" x="69"/>
        <item m="1" x="78"/>
        <item m="1" x="84"/>
        <item m="1" x="34"/>
        <item m="1" x="91"/>
        <item m="1" x="71"/>
        <item m="1" x="26"/>
        <item m="1" x="86"/>
        <item m="1" x="89"/>
        <item m="1" x="58"/>
        <item m="1" x="27"/>
        <item x="14"/>
        <item m="1" x="85"/>
        <item m="1" x="28"/>
        <item m="1" x="59"/>
        <item m="1" x="93"/>
        <item x="15"/>
        <item m="1" x="54"/>
        <item x="17"/>
        <item m="1" x="90"/>
        <item m="1" x="29"/>
        <item m="1" x="73"/>
        <item m="1" x="61"/>
        <item m="1" x="81"/>
        <item m="1" x="83"/>
        <item m="1" x="82"/>
        <item m="1" x="25"/>
        <item x="11"/>
        <item x="5"/>
        <item x="13"/>
        <item x="8"/>
        <item m="1" x="33"/>
        <item m="1" x="65"/>
        <item m="1" x="32"/>
        <item m="1" x="74"/>
        <item m="1" x="47"/>
        <item m="1" x="22"/>
        <item m="1" x="94"/>
        <item m="1" x="48"/>
        <item m="1" x="49"/>
        <item m="1" x="36"/>
        <item m="1" x="95"/>
        <item m="1" x="96"/>
        <item m="1" x="35"/>
        <item m="1" x="97"/>
        <item m="1" x="75"/>
        <item m="1" x="76"/>
        <item m="1" x="77"/>
        <item m="1" x="64"/>
        <item m="1" x="127"/>
        <item m="1" x="98"/>
        <item m="1" x="99"/>
        <item m="1" x="100"/>
        <item m="1" x="101"/>
        <item m="1" x="102"/>
        <item m="1" x="103"/>
        <item m="1" x="104"/>
        <item x="12"/>
        <item m="1" x="105"/>
        <item m="1" x="106"/>
        <item m="1" x="107"/>
        <item m="1" x="108"/>
        <item m="1" x="109"/>
        <item m="1" x="23"/>
        <item m="1" x="110"/>
        <item m="1" x="111"/>
        <item m="1" x="112"/>
        <item x="10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x="1"/>
        <item m="1" x="79"/>
        <item m="1" x="68"/>
        <item m="1" x="38"/>
        <item m="1" x="43"/>
        <item x="9"/>
        <item m="1" x="21"/>
        <item m="1" x="44"/>
        <item m="1" x="30"/>
        <item m="1" x="24"/>
        <item m="1" x="31"/>
        <item m="1" x="19"/>
        <item m="1" x="50"/>
        <item m="1" x="51"/>
        <item m="1" x="52"/>
        <item m="1" x="55"/>
        <item m="1" x="56"/>
        <item m="1" x="53"/>
        <item x="16"/>
        <item m="1" x="39"/>
        <item m="1" x="40"/>
        <item m="1" x="4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/>
    <pivotField axis="axisPage" compact="0" outline="0" showAll="0" includeNewItemsInFilter="1">
      <items count="19">
        <item x="0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x="2"/>
        <item x="1"/>
        <item t="default"/>
      </items>
    </pivotField>
    <pivotField compact="0" outline="0" showAll="0" includeNewItemsInFilter="1"/>
    <pivotField compact="0" outline="0" showAll="0" includeNewItemsInFilter="1"/>
    <pivotField dataField="1" compact="0" numFmtId="176" outline="0" showAll="0" includeNewItemsInFilter="1"/>
    <pivotField compact="0" numFmtId="176" outline="0" showAll="0" includeNewItemsInFilter="1"/>
    <pivotField compact="0" numFmtId="176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76" outline="0" showAll="0" includeNewItemsInFilter="1"/>
    <pivotField compact="0" numFmtId="176" outline="0" showAll="0" includeNewItemsInFilter="1"/>
    <pivotField compact="0" outline="0" showAll="0"/>
    <pivotField axis="axisCol" compact="0" outline="0" showAll="0" includeNewItemsInFilter="1">
      <items count="8">
        <item x="3"/>
        <item x="2"/>
        <item x="0"/>
        <item m="1" x="6"/>
        <item m="1" x="5"/>
        <item x="4"/>
        <item x="1"/>
        <item t="default"/>
      </items>
    </pivotField>
    <pivotField compact="0" outline="0" showAll="0"/>
  </pivotFields>
  <rowFields count="1">
    <field x="6"/>
  </rowFields>
  <rowItems count="19">
    <i>
      <x/>
    </i>
    <i>
      <x v="1"/>
    </i>
    <i>
      <x v="2"/>
    </i>
    <i>
      <x v="5"/>
    </i>
    <i>
      <x v="9"/>
    </i>
    <i>
      <x v="11"/>
    </i>
    <i>
      <x v="35"/>
    </i>
    <i>
      <x v="40"/>
    </i>
    <i>
      <x v="42"/>
    </i>
    <i>
      <x v="51"/>
    </i>
    <i>
      <x v="52"/>
    </i>
    <i>
      <x v="53"/>
    </i>
    <i>
      <x v="54"/>
    </i>
    <i>
      <x v="81"/>
    </i>
    <i>
      <x v="91"/>
    </i>
    <i>
      <x v="106"/>
    </i>
    <i>
      <x v="111"/>
    </i>
    <i>
      <x v="124"/>
    </i>
    <i t="grand">
      <x/>
    </i>
  </rowItems>
  <colFields count="1">
    <field x="35"/>
  </colFields>
  <colItems count="6">
    <i>
      <x/>
    </i>
    <i>
      <x v="1"/>
    </i>
    <i>
      <x v="2"/>
    </i>
    <i>
      <x v="5"/>
    </i>
    <i>
      <x v="6"/>
    </i>
    <i t="grand">
      <x/>
    </i>
  </colItems>
  <pageFields count="1">
    <pageField fld="11" hier="-1"/>
  </pageFields>
  <dataFields count="1">
    <dataField name="합계 : 합계금액" fld="14" baseField="0" baseItem="0" numFmtId="176"/>
  </dataFields>
  <formats count="47">
    <format dxfId="46">
      <pivotArea field="6" type="button" dataOnly="0" labelOnly="1" outline="0" axis="axisRow" fieldPosition="0"/>
    </format>
    <format dxfId="45">
      <pivotArea dataOnly="0" labelOnly="1" outline="0" fieldPosition="0">
        <references count="1">
          <reference field="35" count="0"/>
        </references>
      </pivotArea>
    </format>
    <format dxfId="44">
      <pivotArea dataOnly="0" labelOnly="1" grandCol="1" outline="0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5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6" type="button" dataOnly="0" labelOnly="1" outline="0" axis="axisRow" fieldPosition="0"/>
    </format>
    <format dxfId="37">
      <pivotArea dataOnly="0" labelOnly="1" outline="0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6">
      <pivotArea dataOnly="0" labelOnly="1" outline="0" fieldPosition="0">
        <references count="1">
          <reference field="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5">
      <pivotArea dataOnly="0" labelOnly="1" outline="0" fieldPosition="0">
        <references count="1">
          <reference field="6" count="7">
            <x v="100"/>
            <x v="101"/>
            <x v="102"/>
            <x v="103"/>
            <x v="104"/>
            <x v="105"/>
            <x v="106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35" count="0"/>
        </references>
      </pivotArea>
    </format>
    <format dxfId="32">
      <pivotArea dataOnly="0" labelOnly="1" grandCol="1" outline="0" fieldPosition="0"/>
    </format>
    <format dxfId="31">
      <pivotArea outline="0" fieldPosition="0">
        <references count="1">
          <reference field="6" count="1" selected="0">
            <x v="56"/>
          </reference>
        </references>
      </pivotArea>
    </format>
    <format dxfId="30">
      <pivotArea dataOnly="0" labelOnly="1" outline="0" fieldPosition="0">
        <references count="1">
          <reference field="6" count="1">
            <x v="56"/>
          </reference>
        </references>
      </pivotArea>
    </format>
    <format dxfId="29">
      <pivotArea outline="0" fieldPosition="0">
        <references count="1">
          <reference field="6" count="1" selected="0">
            <x v="57"/>
          </reference>
        </references>
      </pivotArea>
    </format>
    <format dxfId="28">
      <pivotArea dataOnly="0" labelOnly="1" outline="0" fieldPosition="0">
        <references count="1">
          <reference field="6" count="1">
            <x v="57"/>
          </reference>
        </references>
      </pivotArea>
    </format>
    <format dxfId="27">
      <pivotArea outline="0" fieldPosition="0">
        <references count="1">
          <reference field="6" count="1" selected="0">
            <x v="50"/>
          </reference>
        </references>
      </pivotArea>
    </format>
    <format dxfId="26">
      <pivotArea dataOnly="0" labelOnly="1" outline="0" fieldPosition="0">
        <references count="1">
          <reference field="6" count="1">
            <x v="50"/>
          </reference>
        </references>
      </pivotArea>
    </format>
    <format dxfId="25">
      <pivotArea outline="0" fieldPosition="0">
        <references count="1">
          <reference field="6" count="1" selected="0">
            <x v="21"/>
          </reference>
        </references>
      </pivotArea>
    </format>
    <format dxfId="24">
      <pivotArea dataOnly="0" labelOnly="1" outline="0" fieldPosition="0">
        <references count="1">
          <reference field="6" count="1">
            <x v="21"/>
          </reference>
        </references>
      </pivotArea>
    </format>
    <format dxfId="23">
      <pivotArea outline="0" fieldPosition="0">
        <references count="2">
          <reference field="6" count="1" selected="0">
            <x v="45"/>
          </reference>
          <reference field="35" count="1" selected="0">
            <x v="0"/>
          </reference>
        </references>
      </pivotArea>
    </format>
    <format dxfId="22">
      <pivotArea outline="0" fieldPosition="0">
        <references count="2">
          <reference field="6" count="1" selected="0">
            <x v="9"/>
          </reference>
          <reference field="35" count="1" selected="0">
            <x v="1"/>
          </reference>
        </references>
      </pivotArea>
    </format>
    <format dxfId="21">
      <pivotArea outline="0" fieldPosition="0">
        <references count="2">
          <reference field="6" count="1" selected="0">
            <x v="60"/>
          </reference>
          <reference field="35" count="1" selected="0">
            <x v="1"/>
          </reference>
        </references>
      </pivotArea>
    </format>
    <format dxfId="20">
      <pivotArea outline="0" fieldPosition="0">
        <references count="2">
          <reference field="6" count="1" selected="0">
            <x v="30"/>
          </reference>
          <reference field="35" count="1" selected="0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35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35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35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outline="0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35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E862-038F-4E2A-AF70-41ED70089386}">
  <dimension ref="A1:R55"/>
  <sheetViews>
    <sheetView workbookViewId="0"/>
  </sheetViews>
  <sheetFormatPr defaultRowHeight="12.75"/>
  <cols>
    <col min="1" max="1" width="27.140625" style="1" bestFit="1" customWidth="1"/>
    <col min="2" max="17" width="12" style="1" bestFit="1" customWidth="1"/>
    <col min="18" max="18" width="13.85546875" style="1" bestFit="1" customWidth="1"/>
    <col min="19" max="16384" width="9.140625" style="1"/>
  </cols>
  <sheetData>
    <row r="1" spans="1:18">
      <c r="A1" s="1" t="s">
        <v>0</v>
      </c>
      <c r="B1" s="1" t="s">
        <v>31</v>
      </c>
      <c r="E1" s="2">
        <f>SUM(B5:D46)</f>
        <v>382157688</v>
      </c>
    </row>
    <row r="2" spans="1:18">
      <c r="A2" s="3"/>
    </row>
    <row r="3" spans="1:18">
      <c r="A3" s="1" t="s">
        <v>16</v>
      </c>
      <c r="B3" s="1" t="s">
        <v>32</v>
      </c>
      <c r="H3"/>
      <c r="I3"/>
      <c r="J3"/>
      <c r="K3"/>
      <c r="L3"/>
    </row>
    <row r="4" spans="1:18" s="3" customFormat="1">
      <c r="A4" s="3" t="s">
        <v>33</v>
      </c>
      <c r="B4" s="3" t="s">
        <v>13</v>
      </c>
      <c r="C4" s="3" t="s">
        <v>14</v>
      </c>
      <c r="D4" s="3" t="s">
        <v>25</v>
      </c>
      <c r="E4" s="3" t="s">
        <v>24</v>
      </c>
      <c r="F4" s="3" t="s">
        <v>30</v>
      </c>
      <c r="G4" s="3" t="s">
        <v>15</v>
      </c>
      <c r="H4"/>
      <c r="I4"/>
      <c r="J4"/>
      <c r="K4"/>
      <c r="L4"/>
      <c r="M4" s="1"/>
      <c r="N4" s="1"/>
      <c r="O4" s="1"/>
      <c r="P4" s="1"/>
      <c r="Q4" s="1"/>
      <c r="R4" s="1"/>
    </row>
    <row r="5" spans="1:18">
      <c r="A5" s="1" t="s">
        <v>9</v>
      </c>
      <c r="B5" s="2"/>
      <c r="C5" s="2"/>
      <c r="D5" s="2">
        <v>6094000</v>
      </c>
      <c r="E5" s="2"/>
      <c r="F5" s="2">
        <v>396000</v>
      </c>
      <c r="G5" s="2">
        <v>6490000</v>
      </c>
      <c r="H5"/>
      <c r="I5"/>
      <c r="J5"/>
      <c r="K5"/>
      <c r="L5"/>
    </row>
    <row r="6" spans="1:18">
      <c r="A6" s="1" t="s">
        <v>4</v>
      </c>
      <c r="B6" s="2"/>
      <c r="C6" s="2"/>
      <c r="D6" s="2">
        <v>3601444</v>
      </c>
      <c r="E6" s="2"/>
      <c r="F6" s="2">
        <v>1508716</v>
      </c>
      <c r="G6" s="2">
        <v>5110160</v>
      </c>
      <c r="H6"/>
      <c r="I6"/>
      <c r="J6"/>
      <c r="K6"/>
      <c r="L6"/>
    </row>
    <row r="7" spans="1:18">
      <c r="A7" s="1" t="s">
        <v>2</v>
      </c>
      <c r="B7" s="2"/>
      <c r="C7" s="2"/>
      <c r="D7" s="2">
        <v>843700</v>
      </c>
      <c r="E7" s="2"/>
      <c r="F7" s="2">
        <v>949300</v>
      </c>
      <c r="G7" s="2">
        <v>1793000</v>
      </c>
      <c r="H7"/>
      <c r="I7"/>
      <c r="J7"/>
      <c r="K7"/>
      <c r="L7"/>
    </row>
    <row r="8" spans="1:18">
      <c r="A8" s="1" t="s">
        <v>3</v>
      </c>
      <c r="B8" s="2"/>
      <c r="C8" s="2"/>
      <c r="D8" s="2">
        <v>396000</v>
      </c>
      <c r="E8" s="2"/>
      <c r="F8" s="2">
        <v>1232000</v>
      </c>
      <c r="G8" s="2">
        <v>1628000</v>
      </c>
      <c r="H8"/>
      <c r="I8"/>
      <c r="J8"/>
      <c r="K8"/>
      <c r="L8"/>
    </row>
    <row r="9" spans="1:18">
      <c r="A9" s="1" t="s">
        <v>8</v>
      </c>
      <c r="B9" s="2">
        <v>6160000</v>
      </c>
      <c r="C9" s="2"/>
      <c r="D9" s="2"/>
      <c r="E9" s="2"/>
      <c r="F9" s="2"/>
      <c r="G9" s="2">
        <v>6160000</v>
      </c>
      <c r="H9"/>
      <c r="I9"/>
      <c r="J9"/>
      <c r="K9"/>
      <c r="L9"/>
    </row>
    <row r="10" spans="1:18">
      <c r="A10" s="1" t="s">
        <v>7</v>
      </c>
      <c r="B10" s="2"/>
      <c r="C10" s="2"/>
      <c r="D10" s="2">
        <v>524700</v>
      </c>
      <c r="E10" s="2"/>
      <c r="F10" s="2"/>
      <c r="G10" s="2">
        <v>524700</v>
      </c>
      <c r="H10"/>
      <c r="I10"/>
      <c r="J10"/>
      <c r="K10"/>
      <c r="L10"/>
    </row>
    <row r="11" spans="1:18">
      <c r="A11" s="1" t="s">
        <v>5</v>
      </c>
      <c r="B11" s="2">
        <v>50600000</v>
      </c>
      <c r="C11" s="2">
        <v>39600000</v>
      </c>
      <c r="D11" s="2"/>
      <c r="E11" s="2"/>
      <c r="F11" s="2">
        <v>38280000</v>
      </c>
      <c r="G11" s="2">
        <v>128480000</v>
      </c>
      <c r="H11"/>
      <c r="I11"/>
      <c r="J11"/>
      <c r="K11"/>
      <c r="L11"/>
    </row>
    <row r="12" spans="1:18">
      <c r="A12" s="1" t="s">
        <v>1</v>
      </c>
      <c r="B12" s="2"/>
      <c r="C12" s="2"/>
      <c r="D12" s="2">
        <v>7832000</v>
      </c>
      <c r="E12" s="2"/>
      <c r="F12" s="2"/>
      <c r="G12" s="2">
        <v>7832000</v>
      </c>
      <c r="H12"/>
      <c r="I12"/>
      <c r="J12"/>
      <c r="K12"/>
      <c r="L12"/>
    </row>
    <row r="13" spans="1:18">
      <c r="A13" s="1" t="s">
        <v>6</v>
      </c>
      <c r="B13" s="2"/>
      <c r="C13" s="2">
        <v>66000000</v>
      </c>
      <c r="D13" s="2">
        <v>2277000</v>
      </c>
      <c r="E13" s="2"/>
      <c r="F13" s="2"/>
      <c r="G13" s="2">
        <v>68277000</v>
      </c>
      <c r="H13"/>
      <c r="I13"/>
      <c r="J13"/>
      <c r="K13"/>
      <c r="L13"/>
    </row>
    <row r="14" spans="1:18">
      <c r="A14" s="1" t="s">
        <v>17</v>
      </c>
      <c r="B14" s="2"/>
      <c r="C14" s="2"/>
      <c r="D14" s="2"/>
      <c r="E14" s="2"/>
      <c r="F14" s="2">
        <v>132000</v>
      </c>
      <c r="G14" s="2">
        <v>132000</v>
      </c>
      <c r="H14"/>
      <c r="I14"/>
      <c r="J14"/>
      <c r="K14"/>
      <c r="L14"/>
    </row>
    <row r="15" spans="1:18">
      <c r="A15" s="1" t="s">
        <v>10</v>
      </c>
      <c r="B15" s="2"/>
      <c r="C15" s="2"/>
      <c r="D15" s="2"/>
      <c r="E15" s="2"/>
      <c r="F15" s="2">
        <v>78430</v>
      </c>
      <c r="G15" s="2">
        <v>78430</v>
      </c>
      <c r="H15"/>
      <c r="I15"/>
      <c r="J15"/>
      <c r="K15"/>
      <c r="L15"/>
    </row>
    <row r="16" spans="1:18">
      <c r="A16" s="1" t="s">
        <v>11</v>
      </c>
      <c r="B16" s="2"/>
      <c r="C16" s="2"/>
      <c r="D16" s="2"/>
      <c r="E16" s="2"/>
      <c r="F16" s="2">
        <v>11000</v>
      </c>
      <c r="G16" s="2">
        <v>11000</v>
      </c>
      <c r="H16"/>
      <c r="I16"/>
      <c r="J16"/>
      <c r="K16"/>
      <c r="L16"/>
    </row>
    <row r="17" spans="1:14">
      <c r="A17" s="1" t="s">
        <v>18</v>
      </c>
      <c r="B17" s="2"/>
      <c r="C17" s="2"/>
      <c r="D17" s="2"/>
      <c r="E17" s="2"/>
      <c r="F17" s="2">
        <v>525470</v>
      </c>
      <c r="G17" s="2">
        <v>525470</v>
      </c>
      <c r="H17"/>
      <c r="I17"/>
      <c r="J17"/>
      <c r="K17"/>
      <c r="L17"/>
    </row>
    <row r="18" spans="1:14">
      <c r="A18" s="1" t="s">
        <v>12</v>
      </c>
      <c r="B18" s="2"/>
      <c r="C18" s="2"/>
      <c r="D18" s="2">
        <v>7150000</v>
      </c>
      <c r="E18" s="2"/>
      <c r="F18" s="2">
        <v>14982000</v>
      </c>
      <c r="G18" s="2">
        <v>22132000</v>
      </c>
      <c r="H18"/>
      <c r="I18"/>
      <c r="J18"/>
      <c r="K18"/>
      <c r="L18"/>
    </row>
    <row r="19" spans="1:14">
      <c r="A19" s="1" t="s">
        <v>19</v>
      </c>
      <c r="B19" s="2"/>
      <c r="C19" s="2"/>
      <c r="D19" s="2"/>
      <c r="E19" s="2"/>
      <c r="F19" s="2">
        <v>21780000</v>
      </c>
      <c r="G19" s="2">
        <v>21780000</v>
      </c>
      <c r="H19"/>
      <c r="I19"/>
      <c r="J19"/>
      <c r="K19"/>
      <c r="L19"/>
    </row>
    <row r="20" spans="1:14">
      <c r="A20" s="1" t="s">
        <v>24</v>
      </c>
      <c r="B20" s="2"/>
      <c r="C20" s="2"/>
      <c r="D20" s="2"/>
      <c r="E20" s="2"/>
      <c r="F20" s="2"/>
      <c r="G20" s="2"/>
      <c r="H20"/>
      <c r="I20"/>
      <c r="J20"/>
      <c r="K20"/>
      <c r="L20"/>
    </row>
    <row r="21" spans="1:14">
      <c r="A21" s="1" t="s">
        <v>26</v>
      </c>
      <c r="B21" s="2"/>
      <c r="C21" s="2"/>
      <c r="D21" s="2"/>
      <c r="E21" s="2"/>
      <c r="F21" s="2">
        <v>15400000</v>
      </c>
      <c r="G21" s="2">
        <v>15400000</v>
      </c>
      <c r="H21"/>
      <c r="I21"/>
      <c r="J21"/>
      <c r="K21"/>
      <c r="L21"/>
    </row>
    <row r="22" spans="1:14">
      <c r="A22" s="1" t="s">
        <v>29</v>
      </c>
      <c r="B22" s="2"/>
      <c r="C22" s="2"/>
      <c r="D22" s="2"/>
      <c r="E22" s="2"/>
      <c r="F22" s="2">
        <v>748000</v>
      </c>
      <c r="G22" s="2">
        <v>748000</v>
      </c>
      <c r="H22"/>
      <c r="I22"/>
      <c r="J22"/>
      <c r="K22"/>
      <c r="L22"/>
    </row>
    <row r="23" spans="1:14">
      <c r="A23" s="1" t="s">
        <v>15</v>
      </c>
      <c r="B23" s="2">
        <v>56760000</v>
      </c>
      <c r="C23" s="2">
        <v>105600000</v>
      </c>
      <c r="D23" s="2">
        <v>28718844</v>
      </c>
      <c r="E23" s="2"/>
      <c r="F23" s="2">
        <v>96022916</v>
      </c>
      <c r="G23" s="2">
        <v>287101760</v>
      </c>
      <c r="H23"/>
      <c r="I23"/>
      <c r="J23"/>
      <c r="K23"/>
      <c r="L23"/>
      <c r="N23" s="4"/>
    </row>
    <row r="24" spans="1:14">
      <c r="A24"/>
      <c r="B24"/>
      <c r="C24"/>
      <c r="D24"/>
      <c r="E24"/>
      <c r="F24"/>
      <c r="G24"/>
      <c r="H24"/>
      <c r="I24"/>
      <c r="J24"/>
      <c r="K24"/>
      <c r="L24"/>
    </row>
    <row r="25" spans="1:14">
      <c r="A25"/>
      <c r="B25"/>
      <c r="C25"/>
      <c r="D25"/>
      <c r="E25"/>
      <c r="F25"/>
      <c r="G25"/>
      <c r="H25"/>
      <c r="I25"/>
      <c r="J25"/>
      <c r="K25"/>
      <c r="L25"/>
    </row>
    <row r="26" spans="1:14">
      <c r="A26"/>
      <c r="B26"/>
      <c r="C26"/>
      <c r="D26"/>
      <c r="E26"/>
      <c r="F26"/>
      <c r="G26"/>
      <c r="H26"/>
      <c r="I26"/>
      <c r="J26"/>
      <c r="K26"/>
      <c r="L26"/>
    </row>
    <row r="27" spans="1:14">
      <c r="A27"/>
      <c r="B27"/>
      <c r="C27"/>
      <c r="D27"/>
      <c r="E27"/>
      <c r="F27"/>
      <c r="G27"/>
      <c r="H27"/>
      <c r="I27"/>
      <c r="J27"/>
      <c r="K27"/>
      <c r="L27"/>
    </row>
    <row r="28" spans="1:14">
      <c r="A28"/>
      <c r="B28"/>
      <c r="C28"/>
      <c r="D28"/>
      <c r="E28"/>
      <c r="F28"/>
      <c r="G28"/>
      <c r="H28"/>
      <c r="I28"/>
      <c r="J28"/>
      <c r="K28"/>
      <c r="L28"/>
    </row>
    <row r="29" spans="1:14">
      <c r="A29"/>
      <c r="B29"/>
      <c r="C29"/>
      <c r="D29"/>
      <c r="E29"/>
      <c r="F29"/>
      <c r="G29"/>
      <c r="H29"/>
      <c r="I29"/>
      <c r="J29"/>
      <c r="K29"/>
      <c r="L29"/>
    </row>
    <row r="30" spans="1:14">
      <c r="A30"/>
      <c r="B30"/>
      <c r="C30"/>
      <c r="D30"/>
      <c r="E30"/>
      <c r="F30"/>
      <c r="G30"/>
      <c r="H30"/>
      <c r="I30"/>
      <c r="J30"/>
      <c r="K30"/>
      <c r="L30"/>
    </row>
    <row r="31" spans="1:14">
      <c r="A31"/>
      <c r="B31"/>
      <c r="C31"/>
      <c r="D31"/>
      <c r="E31"/>
      <c r="F31"/>
      <c r="G31"/>
      <c r="H31"/>
      <c r="I31"/>
      <c r="J31"/>
      <c r="K31"/>
      <c r="L31"/>
    </row>
    <row r="32" spans="1:14">
      <c r="A32"/>
      <c r="B32"/>
      <c r="C32"/>
      <c r="D32"/>
      <c r="E32"/>
      <c r="F32"/>
      <c r="G32"/>
      <c r="H32"/>
      <c r="I32"/>
      <c r="J32"/>
      <c r="K32"/>
      <c r="L32"/>
    </row>
    <row r="33" spans="1:12">
      <c r="A33"/>
      <c r="B33"/>
      <c r="C33"/>
      <c r="D33"/>
      <c r="E33"/>
      <c r="F33"/>
      <c r="G33"/>
      <c r="H33"/>
      <c r="I33"/>
      <c r="J33"/>
      <c r="K33"/>
      <c r="L33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  <row r="35" spans="1:12">
      <c r="A35"/>
      <c r="B35"/>
      <c r="C35"/>
      <c r="D35"/>
      <c r="E35"/>
      <c r="F35"/>
      <c r="G35"/>
      <c r="H35"/>
      <c r="I35"/>
      <c r="J35"/>
      <c r="K35"/>
      <c r="L35"/>
    </row>
    <row r="36" spans="1:12">
      <c r="A36"/>
      <c r="B36"/>
      <c r="C36"/>
      <c r="D36"/>
      <c r="E36"/>
      <c r="F36"/>
      <c r="G36"/>
      <c r="H36"/>
      <c r="I36"/>
      <c r="J36"/>
      <c r="K36"/>
      <c r="L36"/>
    </row>
    <row r="37" spans="1:12">
      <c r="A37"/>
      <c r="B37"/>
      <c r="C37"/>
      <c r="D37"/>
      <c r="E37"/>
      <c r="F37"/>
      <c r="G37"/>
      <c r="H37"/>
      <c r="I37"/>
      <c r="J37"/>
      <c r="K37"/>
      <c r="L37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/>
      <c r="B39"/>
      <c r="C39"/>
      <c r="D39"/>
      <c r="E39"/>
      <c r="F39"/>
      <c r="G39"/>
      <c r="H39"/>
      <c r="I39"/>
      <c r="J39"/>
      <c r="K39"/>
      <c r="L39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  <row r="42" spans="1:12">
      <c r="A42"/>
      <c r="B42"/>
      <c r="C42"/>
      <c r="D42"/>
      <c r="E42"/>
      <c r="F42"/>
      <c r="G42"/>
      <c r="H42"/>
      <c r="I42"/>
      <c r="J42"/>
      <c r="K42"/>
      <c r="L42"/>
    </row>
    <row r="43" spans="1:12">
      <c r="A43"/>
      <c r="B43"/>
      <c r="C43"/>
      <c r="D43"/>
      <c r="E43"/>
      <c r="F43"/>
      <c r="G43"/>
      <c r="H43"/>
      <c r="I43"/>
      <c r="J43"/>
      <c r="K43"/>
      <c r="L43"/>
    </row>
    <row r="44" spans="1:12">
      <c r="A44"/>
      <c r="B44"/>
      <c r="C44"/>
      <c r="D44"/>
      <c r="E44"/>
      <c r="F44"/>
      <c r="G44"/>
      <c r="H44"/>
      <c r="I44"/>
      <c r="J44"/>
      <c r="K44"/>
      <c r="L44"/>
    </row>
    <row r="45" spans="1:12">
      <c r="A45"/>
      <c r="B45"/>
      <c r="C45"/>
      <c r="D45"/>
      <c r="E45"/>
      <c r="F45"/>
      <c r="G45"/>
      <c r="H45"/>
      <c r="I45"/>
      <c r="J45"/>
      <c r="K45"/>
      <c r="L45"/>
    </row>
    <row r="46" spans="1:12">
      <c r="A46"/>
      <c r="B46"/>
      <c r="C46"/>
      <c r="D46"/>
      <c r="E46"/>
      <c r="F46"/>
      <c r="G46"/>
      <c r="H46"/>
      <c r="I46"/>
      <c r="J46"/>
      <c r="K46"/>
      <c r="L46"/>
    </row>
    <row r="47" spans="1:12">
      <c r="A47"/>
      <c r="B47"/>
      <c r="C47"/>
      <c r="D47"/>
      <c r="E47"/>
      <c r="F47"/>
      <c r="G47"/>
      <c r="H47"/>
    </row>
    <row r="48" spans="1:12" ht="13.5">
      <c r="A48" s="5" t="s">
        <v>23</v>
      </c>
      <c r="J48" s="6">
        <v>470000</v>
      </c>
    </row>
    <row r="49" spans="1:11" ht="13.5">
      <c r="A49" s="5" t="s">
        <v>20</v>
      </c>
      <c r="J49" s="6">
        <v>1322640</v>
      </c>
    </row>
    <row r="50" spans="1:11" ht="13.5">
      <c r="A50" s="5" t="s">
        <v>21</v>
      </c>
      <c r="J50" s="6">
        <v>9988000</v>
      </c>
      <c r="K50" s="6"/>
    </row>
    <row r="51" spans="1:11" ht="13.5">
      <c r="A51" s="5" t="s">
        <v>22</v>
      </c>
      <c r="J51" s="6">
        <v>14520000</v>
      </c>
    </row>
    <row r="52" spans="1:11">
      <c r="J52" s="6"/>
    </row>
    <row r="53" spans="1:11">
      <c r="J53" s="6"/>
    </row>
    <row r="54" spans="1:11">
      <c r="J54" s="6"/>
    </row>
    <row r="55" spans="1:11">
      <c r="J55" s="6"/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9977-FB54-42DD-8405-557DF7CB23C4}">
  <dimension ref="B2:I28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B34" sqref="B34"/>
    </sheetView>
  </sheetViews>
  <sheetFormatPr defaultRowHeight="12.75"/>
  <cols>
    <col min="2" max="2" width="31" bestFit="1" customWidth="1"/>
    <col min="3" max="3" width="12.28515625" bestFit="1" customWidth="1"/>
    <col min="4" max="4" width="13.28515625" bestFit="1" customWidth="1"/>
    <col min="5" max="6" width="12.28515625" bestFit="1" customWidth="1"/>
    <col min="7" max="7" width="13.28515625" bestFit="1" customWidth="1"/>
    <col min="8" max="8" width="10.42578125" bestFit="1" customWidth="1"/>
    <col min="9" max="9" width="12.7109375" bestFit="1" customWidth="1"/>
    <col min="10" max="10" width="10.42578125" bestFit="1" customWidth="1"/>
    <col min="11" max="16" width="11.5703125" bestFit="1" customWidth="1"/>
    <col min="17" max="17" width="13" bestFit="1" customWidth="1"/>
    <col min="18" max="18" width="12.7109375" bestFit="1" customWidth="1"/>
  </cols>
  <sheetData>
    <row r="2" spans="2:9">
      <c r="B2" s="7" t="s">
        <v>0</v>
      </c>
      <c r="C2" t="s">
        <v>31</v>
      </c>
    </row>
    <row r="3" spans="2:9" ht="13.5">
      <c r="I3" s="40"/>
    </row>
    <row r="4" spans="2:9">
      <c r="B4" t="s">
        <v>16</v>
      </c>
      <c r="C4" t="s">
        <v>28</v>
      </c>
    </row>
    <row r="5" spans="2:9">
      <c r="B5" t="s">
        <v>27</v>
      </c>
      <c r="C5" t="s">
        <v>13</v>
      </c>
      <c r="D5" t="s">
        <v>14</v>
      </c>
      <c r="E5" t="s">
        <v>25</v>
      </c>
      <c r="F5" t="s">
        <v>30</v>
      </c>
      <c r="G5" t="s">
        <v>15</v>
      </c>
    </row>
    <row r="6" spans="2:9">
      <c r="B6" t="s">
        <v>9</v>
      </c>
      <c r="C6" s="47"/>
      <c r="D6" s="47"/>
      <c r="E6" s="47">
        <v>6094000</v>
      </c>
      <c r="F6" s="47">
        <v>396000</v>
      </c>
      <c r="G6" s="47">
        <v>6490000</v>
      </c>
    </row>
    <row r="7" spans="2:9">
      <c r="B7" t="s">
        <v>4</v>
      </c>
      <c r="C7" s="47"/>
      <c r="D7" s="47"/>
      <c r="E7" s="47">
        <v>3601444</v>
      </c>
      <c r="F7" s="47">
        <v>1508716</v>
      </c>
      <c r="G7" s="47">
        <v>5110160</v>
      </c>
    </row>
    <row r="8" spans="2:9">
      <c r="B8" t="s">
        <v>2</v>
      </c>
      <c r="C8" s="47"/>
      <c r="D8" s="47"/>
      <c r="E8" s="47">
        <v>843700</v>
      </c>
      <c r="F8" s="47">
        <v>949300</v>
      </c>
      <c r="G8" s="47">
        <v>1793000</v>
      </c>
    </row>
    <row r="9" spans="2:9">
      <c r="B9" t="s">
        <v>3</v>
      </c>
      <c r="C9" s="47"/>
      <c r="D9" s="47"/>
      <c r="E9" s="47">
        <v>396000</v>
      </c>
      <c r="F9" s="47">
        <v>1232000</v>
      </c>
      <c r="G9" s="47">
        <v>1628000</v>
      </c>
    </row>
    <row r="10" spans="2:9">
      <c r="B10" t="s">
        <v>10</v>
      </c>
      <c r="C10" s="47"/>
      <c r="D10" s="47"/>
      <c r="E10" s="47"/>
      <c r="F10" s="47">
        <v>78430</v>
      </c>
      <c r="G10" s="47">
        <v>78430</v>
      </c>
    </row>
    <row r="11" spans="2:9">
      <c r="B11" t="s">
        <v>7</v>
      </c>
      <c r="C11" s="47"/>
      <c r="D11" s="47"/>
      <c r="E11" s="47">
        <v>524700</v>
      </c>
      <c r="F11" s="47"/>
      <c r="G11" s="47">
        <v>524700</v>
      </c>
    </row>
    <row r="12" spans="2:9">
      <c r="B12" t="s">
        <v>18</v>
      </c>
      <c r="C12" s="47"/>
      <c r="D12" s="47"/>
      <c r="E12" s="47"/>
      <c r="F12" s="47">
        <v>525470</v>
      </c>
      <c r="G12" s="47">
        <v>525470</v>
      </c>
    </row>
    <row r="13" spans="2:9">
      <c r="B13" t="s">
        <v>17</v>
      </c>
      <c r="C13" s="47"/>
      <c r="D13" s="47"/>
      <c r="E13" s="47"/>
      <c r="F13" s="47">
        <v>132000</v>
      </c>
      <c r="G13" s="47">
        <v>132000</v>
      </c>
    </row>
    <row r="14" spans="2:9">
      <c r="B14" t="s">
        <v>11</v>
      </c>
      <c r="C14" s="47"/>
      <c r="D14" s="47"/>
      <c r="E14" s="47"/>
      <c r="F14" s="47">
        <v>11000</v>
      </c>
      <c r="G14" s="47">
        <v>11000</v>
      </c>
    </row>
    <row r="15" spans="2:9">
      <c r="B15" t="s">
        <v>5</v>
      </c>
      <c r="C15" s="47">
        <v>50600000</v>
      </c>
      <c r="D15" s="47">
        <v>39600000</v>
      </c>
      <c r="E15" s="47"/>
      <c r="F15" s="47">
        <v>38280000</v>
      </c>
      <c r="G15" s="47">
        <v>128480000</v>
      </c>
    </row>
    <row r="16" spans="2:9">
      <c r="B16" t="s">
        <v>1</v>
      </c>
      <c r="C16" s="47"/>
      <c r="D16" s="47"/>
      <c r="E16" s="47">
        <v>7832000</v>
      </c>
      <c r="F16" s="47"/>
      <c r="G16" s="47">
        <v>7832000</v>
      </c>
    </row>
    <row r="17" spans="2:7">
      <c r="B17" t="s">
        <v>29</v>
      </c>
      <c r="C17" s="47"/>
      <c r="D17" s="47"/>
      <c r="E17" s="47"/>
      <c r="F17" s="47">
        <v>748000</v>
      </c>
      <c r="G17" s="47">
        <v>748000</v>
      </c>
    </row>
    <row r="18" spans="2:7">
      <c r="B18" t="s">
        <v>24</v>
      </c>
      <c r="C18" s="47"/>
      <c r="D18" s="47"/>
      <c r="E18" s="47"/>
      <c r="F18" s="47"/>
      <c r="G18" s="47"/>
    </row>
    <row r="19" spans="2:7">
      <c r="B19" t="s">
        <v>26</v>
      </c>
      <c r="C19" s="47"/>
      <c r="D19" s="47"/>
      <c r="E19" s="47"/>
      <c r="F19" s="47">
        <v>15400000</v>
      </c>
      <c r="G19" s="47">
        <v>15400000</v>
      </c>
    </row>
    <row r="20" spans="2:7">
      <c r="B20" t="s">
        <v>19</v>
      </c>
      <c r="C20" s="47"/>
      <c r="D20" s="47"/>
      <c r="E20" s="47"/>
      <c r="F20" s="47">
        <v>21780000</v>
      </c>
      <c r="G20" s="47">
        <v>21780000</v>
      </c>
    </row>
    <row r="21" spans="2:7">
      <c r="B21" t="s">
        <v>12</v>
      </c>
      <c r="C21" s="47"/>
      <c r="D21" s="47"/>
      <c r="E21" s="47">
        <v>7150000</v>
      </c>
      <c r="F21" s="47"/>
      <c r="G21" s="47">
        <v>7150000</v>
      </c>
    </row>
    <row r="22" spans="2:7">
      <c r="B22" t="s">
        <v>8</v>
      </c>
      <c r="C22" s="47">
        <v>6160000</v>
      </c>
      <c r="D22" s="47"/>
      <c r="E22" s="47"/>
      <c r="F22" s="47"/>
      <c r="G22" s="47">
        <v>6160000</v>
      </c>
    </row>
    <row r="23" spans="2:7">
      <c r="B23" t="s">
        <v>12</v>
      </c>
      <c r="C23" s="47"/>
      <c r="D23" s="47"/>
      <c r="E23" s="47"/>
      <c r="F23" s="47">
        <v>14982000</v>
      </c>
      <c r="G23" s="47">
        <v>14982000</v>
      </c>
    </row>
    <row r="24" spans="2:7">
      <c r="B24" t="s">
        <v>6</v>
      </c>
      <c r="C24" s="47"/>
      <c r="D24" s="47">
        <v>66000000</v>
      </c>
      <c r="E24" s="47">
        <v>2277000</v>
      </c>
      <c r="F24" s="47"/>
      <c r="G24" s="47">
        <v>68277000</v>
      </c>
    </row>
    <row r="25" spans="2:7">
      <c r="B25" t="s">
        <v>24</v>
      </c>
      <c r="C25" s="47"/>
      <c r="D25" s="47"/>
      <c r="E25" s="47"/>
      <c r="F25" s="47"/>
      <c r="G25" s="47"/>
    </row>
    <row r="26" spans="2:7">
      <c r="B26" t="s">
        <v>15</v>
      </c>
      <c r="C26" s="47">
        <f>SUM(C6:C25)</f>
        <v>56760000</v>
      </c>
      <c r="D26" s="47">
        <f t="shared" ref="D26:G26" si="0">SUM(D6:D25)</f>
        <v>105600000</v>
      </c>
      <c r="E26" s="47">
        <f t="shared" si="0"/>
        <v>28718844</v>
      </c>
      <c r="F26" s="47">
        <f t="shared" si="0"/>
        <v>96022916</v>
      </c>
      <c r="G26" s="47">
        <f t="shared" si="0"/>
        <v>287101760</v>
      </c>
    </row>
    <row r="27" spans="2:7">
      <c r="C27" s="47"/>
      <c r="D27" s="47"/>
      <c r="E27" s="47"/>
      <c r="F27" s="47"/>
      <c r="G27" s="47"/>
    </row>
    <row r="28" spans="2:7">
      <c r="C28" s="47"/>
      <c r="D28" s="47"/>
      <c r="E28" s="47"/>
      <c r="F28" s="47"/>
      <c r="G28" s="4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39D0-6B58-4ED0-B164-084675A852C3}">
  <dimension ref="A1:H54"/>
  <sheetViews>
    <sheetView showGridLines="0" zoomScale="85" zoomScaleNormal="85" workbookViewId="0">
      <pane xSplit="3" ySplit="3" topLeftCell="D4" activePane="bottomRight" state="frozen"/>
      <selection pane="topRight" activeCell="E1" sqref="E1"/>
      <selection pane="bottomLeft" activeCell="A11" sqref="A11"/>
      <selection pane="bottomRight" activeCell="B10" sqref="B10"/>
    </sheetView>
  </sheetViews>
  <sheetFormatPr defaultColWidth="10" defaultRowHeight="16.5"/>
  <cols>
    <col min="1" max="1" width="12.5703125" style="10" customWidth="1"/>
    <col min="2" max="2" width="26" style="10" bestFit="1" customWidth="1"/>
    <col min="3" max="3" width="30.85546875" style="10" customWidth="1"/>
    <col min="4" max="4" width="14.85546875" style="10" bestFit="1" customWidth="1"/>
    <col min="5" max="5" width="15.5703125" style="10" bestFit="1" customWidth="1"/>
    <col min="6" max="6" width="14.42578125" style="10" bestFit="1" customWidth="1"/>
    <col min="7" max="16384" width="10" style="10"/>
  </cols>
  <sheetData>
    <row r="1" spans="1:8" ht="21" thickBot="1">
      <c r="A1" s="8" t="s">
        <v>34</v>
      </c>
      <c r="B1" s="9"/>
      <c r="C1" s="9"/>
      <c r="D1" s="9"/>
      <c r="E1" s="9"/>
      <c r="F1" s="9"/>
    </row>
    <row r="2" spans="1:8" ht="17.25" thickTop="1">
      <c r="A2" s="44" t="s">
        <v>35</v>
      </c>
      <c r="B2" s="41" t="s">
        <v>36</v>
      </c>
      <c r="C2" s="43" t="s">
        <v>37</v>
      </c>
      <c r="D2" s="11" t="s">
        <v>38</v>
      </c>
      <c r="E2" s="11" t="s">
        <v>39</v>
      </c>
      <c r="F2" s="11" t="s">
        <v>40</v>
      </c>
    </row>
    <row r="3" spans="1:8" ht="20.25">
      <c r="A3" s="45"/>
      <c r="B3" s="42"/>
      <c r="C3" s="42"/>
      <c r="D3" s="12">
        <v>0.3</v>
      </c>
      <c r="E3" s="12">
        <v>0.5</v>
      </c>
      <c r="F3" s="12">
        <v>0.2</v>
      </c>
      <c r="H3" s="13" t="s">
        <v>41</v>
      </c>
    </row>
    <row r="4" spans="1:8">
      <c r="A4" s="45"/>
      <c r="B4" s="14" t="s">
        <v>42</v>
      </c>
      <c r="C4" s="14" t="s">
        <v>43</v>
      </c>
      <c r="D4" s="15"/>
      <c r="E4" s="16">
        <v>99000000.000000015</v>
      </c>
      <c r="F4" s="15"/>
      <c r="G4" s="10" t="s">
        <v>76</v>
      </c>
    </row>
    <row r="5" spans="1:8">
      <c r="A5" s="45"/>
      <c r="B5" s="14" t="s">
        <v>44</v>
      </c>
      <c r="C5" s="14" t="s">
        <v>45</v>
      </c>
      <c r="D5" s="15"/>
      <c r="E5" s="16">
        <v>5500000</v>
      </c>
      <c r="F5" s="15"/>
      <c r="G5" s="10" t="s">
        <v>77</v>
      </c>
    </row>
    <row r="6" spans="1:8">
      <c r="A6" s="45"/>
      <c r="B6" s="14" t="s">
        <v>46</v>
      </c>
      <c r="C6" s="14" t="s">
        <v>45</v>
      </c>
      <c r="D6" s="15"/>
      <c r="E6" s="16">
        <v>75900000</v>
      </c>
      <c r="F6" s="15"/>
      <c r="G6" s="10" t="s">
        <v>76</v>
      </c>
    </row>
    <row r="7" spans="1:8">
      <c r="A7" s="45"/>
      <c r="B7" s="17" t="s">
        <v>47</v>
      </c>
      <c r="C7" s="17" t="s">
        <v>48</v>
      </c>
      <c r="D7" s="15"/>
      <c r="E7" s="16">
        <v>64900000.000000007</v>
      </c>
      <c r="F7" s="15"/>
      <c r="G7" s="10" t="s">
        <v>76</v>
      </c>
    </row>
    <row r="8" spans="1:8">
      <c r="A8" s="45"/>
      <c r="B8" s="14" t="s">
        <v>44</v>
      </c>
      <c r="C8" s="14" t="s">
        <v>49</v>
      </c>
      <c r="D8" s="15"/>
      <c r="E8" s="16">
        <v>3300000.0000000005</v>
      </c>
      <c r="F8" s="15"/>
      <c r="G8" s="10" t="s">
        <v>77</v>
      </c>
    </row>
    <row r="9" spans="1:8">
      <c r="A9" s="45"/>
      <c r="B9" s="14" t="s">
        <v>78</v>
      </c>
      <c r="C9" s="14" t="s">
        <v>49</v>
      </c>
      <c r="D9" s="15"/>
      <c r="E9" s="16">
        <v>2200000</v>
      </c>
      <c r="F9" s="15"/>
    </row>
    <row r="10" spans="1:8">
      <c r="A10" s="45"/>
      <c r="B10" s="14" t="s">
        <v>51</v>
      </c>
      <c r="C10" s="14" t="s">
        <v>52</v>
      </c>
      <c r="D10" s="15"/>
      <c r="E10" s="16">
        <v>66000000.000000007</v>
      </c>
      <c r="F10" s="15"/>
    </row>
    <row r="11" spans="1:8">
      <c r="A11" s="45"/>
      <c r="B11" s="14" t="s">
        <v>53</v>
      </c>
      <c r="C11" s="14" t="s">
        <v>54</v>
      </c>
      <c r="D11" s="15"/>
      <c r="E11" s="16">
        <v>3850000.0000000005</v>
      </c>
      <c r="F11" s="15"/>
      <c r="G11" s="10" t="s">
        <v>76</v>
      </c>
    </row>
    <row r="12" spans="1:8">
      <c r="A12" s="45"/>
      <c r="B12" s="14" t="s">
        <v>55</v>
      </c>
      <c r="C12" s="14" t="s">
        <v>54</v>
      </c>
      <c r="D12" s="15"/>
      <c r="E12" s="16">
        <v>105600000.00000001</v>
      </c>
      <c r="F12" s="15"/>
    </row>
    <row r="13" spans="1:8">
      <c r="A13" s="45"/>
      <c r="B13" s="14" t="s">
        <v>58</v>
      </c>
      <c r="C13" s="14" t="s">
        <v>59</v>
      </c>
      <c r="D13" s="15"/>
      <c r="E13" s="16">
        <v>8250000.0000000009</v>
      </c>
      <c r="F13" s="15"/>
      <c r="G13" s="10" t="s">
        <v>77</v>
      </c>
    </row>
    <row r="14" spans="1:8">
      <c r="A14" s="45"/>
      <c r="B14" s="14" t="s">
        <v>60</v>
      </c>
      <c r="C14" s="14"/>
      <c r="D14" s="15"/>
      <c r="E14" s="16">
        <v>55000000.000000007</v>
      </c>
      <c r="F14" s="15"/>
    </row>
    <row r="15" spans="1:8">
      <c r="A15" s="45"/>
      <c r="B15" s="14" t="s">
        <v>61</v>
      </c>
      <c r="C15" s="14" t="s">
        <v>62</v>
      </c>
      <c r="D15" s="15"/>
      <c r="E15" s="16">
        <v>2475000</v>
      </c>
      <c r="F15" s="15"/>
      <c r="G15" s="10" t="s">
        <v>76</v>
      </c>
    </row>
    <row r="16" spans="1:8">
      <c r="A16" s="45"/>
      <c r="B16" s="22" t="s">
        <v>47</v>
      </c>
      <c r="C16" s="23" t="s">
        <v>63</v>
      </c>
      <c r="D16" s="24">
        <v>6930000.0000000009</v>
      </c>
      <c r="E16" s="25"/>
      <c r="F16" s="25"/>
      <c r="G16" s="10" t="s">
        <v>76</v>
      </c>
    </row>
    <row r="17" spans="1:8">
      <c r="A17" s="45"/>
      <c r="B17" s="14" t="s">
        <v>58</v>
      </c>
      <c r="C17" s="26" t="s">
        <v>64</v>
      </c>
      <c r="D17" s="15"/>
      <c r="E17" s="15"/>
      <c r="F17" s="16">
        <v>1375000</v>
      </c>
      <c r="G17" s="10" t="s">
        <v>77</v>
      </c>
    </row>
    <row r="18" spans="1:8">
      <c r="A18" s="45"/>
      <c r="B18" s="18" t="s">
        <v>50</v>
      </c>
      <c r="C18" s="19" t="s">
        <v>49</v>
      </c>
      <c r="D18" s="20"/>
      <c r="E18" s="21">
        <v>110000000.00000001</v>
      </c>
      <c r="F18" s="20"/>
    </row>
    <row r="19" spans="1:8">
      <c r="A19" s="45"/>
      <c r="B19" s="18" t="s">
        <v>56</v>
      </c>
      <c r="C19" s="19" t="s">
        <v>57</v>
      </c>
      <c r="D19" s="20"/>
      <c r="E19" s="21">
        <v>40150000</v>
      </c>
      <c r="F19" s="20"/>
      <c r="H19" s="38" t="s">
        <v>74</v>
      </c>
    </row>
    <row r="20" spans="1:8" s="28" customFormat="1">
      <c r="A20" s="46"/>
      <c r="B20" s="18" t="s">
        <v>65</v>
      </c>
      <c r="C20" s="19" t="s">
        <v>66</v>
      </c>
      <c r="D20" s="27">
        <v>27765100</v>
      </c>
      <c r="E20" s="15"/>
      <c r="F20" s="15"/>
      <c r="H20" s="38" t="s">
        <v>75</v>
      </c>
    </row>
    <row r="21" spans="1:8">
      <c r="C21" s="29"/>
      <c r="D21" s="30">
        <f>SUM(D4:D17)</f>
        <v>6930000.0000000009</v>
      </c>
      <c r="E21" s="30">
        <f>SUM(E4:E17)</f>
        <v>491975000</v>
      </c>
      <c r="F21" s="30">
        <f>SUM(F4:F17)</f>
        <v>1375000</v>
      </c>
    </row>
    <row r="22" spans="1:8">
      <c r="C22" s="10" t="s">
        <v>39</v>
      </c>
    </row>
    <row r="23" spans="1:8">
      <c r="B23" s="10" t="s">
        <v>67</v>
      </c>
      <c r="C23" s="31">
        <f>717750000</f>
        <v>717750000</v>
      </c>
    </row>
    <row r="24" spans="1:8">
      <c r="B24" s="10" t="s">
        <v>68</v>
      </c>
      <c r="C24" s="32">
        <v>6.5769999999999995E-2</v>
      </c>
    </row>
    <row r="25" spans="1:8" ht="17.25" thickBot="1">
      <c r="B25" s="10" t="s">
        <v>69</v>
      </c>
      <c r="C25" s="33" t="s">
        <v>70</v>
      </c>
    </row>
    <row r="26" spans="1:8">
      <c r="B26" s="34"/>
      <c r="C26" s="35">
        <f>C23-6500000</f>
        <v>711250000</v>
      </c>
      <c r="E26" s="39">
        <v>442069100</v>
      </c>
    </row>
    <row r="27" spans="1:8">
      <c r="C27" s="29"/>
    </row>
    <row r="28" spans="1:8">
      <c r="B28" s="10" t="s">
        <v>71</v>
      </c>
      <c r="C28" s="10" t="s">
        <v>72</v>
      </c>
    </row>
    <row r="29" spans="1:8" ht="17.25" thickBot="1">
      <c r="C29" s="36">
        <f>SUM(D21:F21)</f>
        <v>500280000</v>
      </c>
      <c r="E29" s="30">
        <f>C29+E26</f>
        <v>942349100</v>
      </c>
    </row>
    <row r="30" spans="1:8">
      <c r="B30" s="34" t="s">
        <v>73</v>
      </c>
      <c r="C30" s="37"/>
    </row>
    <row r="33" spans="3:3">
      <c r="C33" s="29"/>
    </row>
    <row r="34" spans="3:3">
      <c r="C34" s="29"/>
    </row>
    <row r="35" spans="3:3">
      <c r="C35" s="29"/>
    </row>
    <row r="36" spans="3:3">
      <c r="C36" s="29"/>
    </row>
    <row r="37" spans="3:3">
      <c r="C37" s="29"/>
    </row>
    <row r="38" spans="3:3">
      <c r="C38" s="29"/>
    </row>
    <row r="39" spans="3:3">
      <c r="C39" s="29"/>
    </row>
    <row r="40" spans="3:3">
      <c r="C40" s="29"/>
    </row>
    <row r="41" spans="3:3">
      <c r="C41" s="29"/>
    </row>
    <row r="42" spans="3:3">
      <c r="C42" s="29"/>
    </row>
    <row r="43" spans="3:3">
      <c r="C43" s="29"/>
    </row>
    <row r="44" spans="3:3">
      <c r="C44" s="29"/>
    </row>
    <row r="45" spans="3:3">
      <c r="C45" s="29"/>
    </row>
    <row r="46" spans="3:3">
      <c r="C46" s="29"/>
    </row>
    <row r="47" spans="3:3">
      <c r="C47" s="29"/>
    </row>
    <row r="48" spans="3:3">
      <c r="C48" s="29"/>
    </row>
    <row r="49" spans="3:3">
      <c r="C49" s="29"/>
    </row>
    <row r="50" spans="3:3">
      <c r="C50" s="29"/>
    </row>
    <row r="51" spans="3:3">
      <c r="C51" s="29"/>
    </row>
    <row r="52" spans="3:3">
      <c r="C52" s="29"/>
    </row>
    <row r="53" spans="3:3">
      <c r="C53" s="29"/>
    </row>
    <row r="54" spans="3:3">
      <c r="C54" s="29"/>
    </row>
  </sheetData>
  <autoFilter ref="A1:F26" xr:uid="{4C357EC1-E9B5-44DB-952B-D80983E15472}"/>
  <mergeCells count="3">
    <mergeCell ref="B2:B3"/>
    <mergeCell ref="C2:C3"/>
    <mergeCell ref="A2:A20"/>
  </mergeCells>
  <phoneticPr fontId="1" type="noConversion"/>
  <pageMargins left="0.70866141732283472" right="0.70866141732283472" top="0.35433070866141736" bottom="0.35433070866141736" header="0.31496062992125984" footer="0.31496062992125984"/>
  <pageSetup paperSize="9" scale="5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 (2)</vt:lpstr>
      <vt:lpstr>매입자료</vt:lpstr>
      <vt:lpstr>7.15일 결제예정 업체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텔스타이엔지</dc:creator>
  <cp:lastModifiedBy>이엔지 텔스타</cp:lastModifiedBy>
  <dcterms:created xsi:type="dcterms:W3CDTF">2026-05-08T22:29:23Z</dcterms:created>
  <dcterms:modified xsi:type="dcterms:W3CDTF">2026-07-30T02:31:54Z</dcterms:modified>
</cp:coreProperties>
</file>