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M\Desktop\테스트\"/>
    </mc:Choice>
  </mc:AlternateContent>
  <xr:revisionPtr revIDLastSave="0" documentId="13_ncr:1_{9F8B4C55-91B6-42AE-9663-538249F63A1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상세내역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" l="1"/>
  <c r="I28" i="3"/>
  <c r="J2" i="3"/>
  <c r="I2" i="3"/>
  <c r="L41" i="3"/>
  <c r="K40" i="3"/>
  <c r="I39" i="3"/>
  <c r="L39" i="3" s="1"/>
  <c r="I38" i="3"/>
  <c r="L38" i="3" s="1"/>
  <c r="I37" i="3"/>
  <c r="K37" i="3" s="1"/>
  <c r="I36" i="3"/>
  <c r="L36" i="3" s="1"/>
  <c r="I35" i="3"/>
  <c r="L35" i="3" s="1"/>
  <c r="I34" i="3"/>
  <c r="I33" i="3"/>
  <c r="L33" i="3" s="1"/>
  <c r="I32" i="3"/>
  <c r="K32" i="3" s="1"/>
  <c r="I31" i="3"/>
  <c r="K31" i="3" s="1"/>
  <c r="I23" i="3"/>
  <c r="I22" i="3"/>
  <c r="L22" i="3" s="1"/>
  <c r="I21" i="3"/>
  <c r="L21" i="3" s="1"/>
  <c r="I25" i="3"/>
  <c r="L25" i="3" s="1"/>
  <c r="I24" i="3"/>
  <c r="L24" i="3" s="1"/>
  <c r="I29" i="3"/>
  <c r="L29" i="3" s="1"/>
  <c r="I27" i="3"/>
  <c r="I20" i="3"/>
  <c r="L20" i="3" s="1"/>
  <c r="I18" i="3"/>
  <c r="I17" i="3"/>
  <c r="L16" i="3"/>
  <c r="I14" i="3"/>
  <c r="K14" i="3" s="1"/>
  <c r="L13" i="3"/>
  <c r="I11" i="3"/>
  <c r="K11" i="3" s="1"/>
  <c r="I10" i="3"/>
  <c r="I9" i="3"/>
  <c r="K9" i="3" s="1"/>
  <c r="I8" i="3"/>
  <c r="K8" i="3" s="1"/>
  <c r="I6" i="3"/>
  <c r="K6" i="3" s="1"/>
  <c r="I5" i="3"/>
  <c r="K5" i="3" s="1"/>
  <c r="L2" i="3" l="1"/>
  <c r="M2" i="3" s="1"/>
  <c r="K2" i="3"/>
</calcChain>
</file>

<file path=xl/sharedStrings.xml><?xml version="1.0" encoding="utf-8"?>
<sst xmlns="http://schemas.openxmlformats.org/spreadsheetml/2006/main" count="211" uniqueCount="78">
  <si>
    <t>프로젝트명</t>
  </si>
  <si>
    <t>세금계산서</t>
  </si>
  <si>
    <t>ATC PLATE</t>
  </si>
  <si>
    <t>연도</t>
  </si>
  <si>
    <t>발주번호</t>
    <phoneticPr fontId="2" type="noConversion"/>
  </si>
  <si>
    <t>프로젝트번호</t>
    <phoneticPr fontId="2" type="noConversion"/>
  </si>
  <si>
    <t>프로젝트금액</t>
  </si>
  <si>
    <t>미결제금액(TC)</t>
    <phoneticPr fontId="2" type="noConversion"/>
  </si>
  <si>
    <t xml:space="preserve">비   고 </t>
    <phoneticPr fontId="2" type="noConversion"/>
  </si>
  <si>
    <t>OP2409270005</t>
    <phoneticPr fontId="2" type="noConversion"/>
  </si>
  <si>
    <t>TA20240702</t>
  </si>
  <si>
    <t>냉각수모듈 조립라인 (에아솔루브(헝가리))-건- 202408012</t>
  </si>
  <si>
    <t>2026-05-27</t>
  </si>
  <si>
    <t>OP2509300005</t>
    <phoneticPr fontId="2" type="noConversion"/>
  </si>
  <si>
    <t>유럽3차동 냉각수모듈 조립라인 신작(아 솔로바키아)</t>
  </si>
  <si>
    <t>OP2510270001</t>
    <phoneticPr fontId="2" type="noConversion"/>
  </si>
  <si>
    <t>TL20250903</t>
  </si>
  <si>
    <t>SNT상용1톤 리어액슬 조립라인 신작(화신 전주)</t>
  </si>
  <si>
    <t>OP2603030013</t>
    <phoneticPr fontId="2" type="noConversion"/>
  </si>
  <si>
    <t>TA20260102</t>
  </si>
  <si>
    <t>액슬샤프트 조립라인 신작(태양전주)</t>
  </si>
  <si>
    <t>PO2603050006</t>
    <phoneticPr fontId="2" type="noConversion"/>
  </si>
  <si>
    <t>ATC</t>
  </si>
  <si>
    <t>OP2604240005</t>
    <phoneticPr fontId="2" type="noConversion"/>
  </si>
  <si>
    <t>TA20260312</t>
  </si>
  <si>
    <t>JG기종추가2라인프트 TURN기능 추가 외5건</t>
  </si>
  <si>
    <t>PO2605200001</t>
    <phoneticPr fontId="2" type="noConversion"/>
  </si>
  <si>
    <t>2026-06-26</t>
  </si>
  <si>
    <t>OP2605190008</t>
    <phoneticPr fontId="2" type="noConversion"/>
  </si>
  <si>
    <t>화신 상용1톤 리어액슬 조립라인 신작(SNT전주)</t>
  </si>
  <si>
    <t>OP2605220009</t>
    <phoneticPr fontId="2" type="noConversion"/>
  </si>
  <si>
    <t>TA20260308</t>
  </si>
  <si>
    <t>FR리어액슬 조립라인 HEV기종추가 개조 SCO(유아창원)</t>
  </si>
  <si>
    <t>OP2605270001</t>
  </si>
  <si>
    <t>베어링 공급기 개조-구매품 유상사급정산</t>
  </si>
  <si>
    <t>1차중도금 지급시 차감 (OP2605220009)</t>
    <phoneticPr fontId="2" type="noConversion"/>
  </si>
  <si>
    <t>TA20260309</t>
  </si>
  <si>
    <t>캠럼셔틀 카트리지 개조</t>
  </si>
  <si>
    <t>OP2607010003</t>
  </si>
  <si>
    <t>TW20260101</t>
  </si>
  <si>
    <t>[ 추가건 ]</t>
    <phoneticPr fontId="2" type="noConversion"/>
  </si>
  <si>
    <t>미결제금액</t>
    <phoneticPr fontId="2" type="noConversion"/>
  </si>
  <si>
    <t>비   고</t>
    <phoneticPr fontId="2" type="noConversion"/>
  </si>
  <si>
    <t>OP2508140002</t>
    <phoneticPr fontId="2" type="noConversion"/>
  </si>
  <si>
    <t>TA20250605</t>
  </si>
  <si>
    <t>냉각수 모듈 조립1라인 JG 기종추가 개조(위아 창원)</t>
    <phoneticPr fontId="2" type="noConversion"/>
  </si>
  <si>
    <t>잔금 미발행</t>
    <phoneticPr fontId="2" type="noConversion"/>
  </si>
  <si>
    <t>OP2508220002</t>
    <phoneticPr fontId="2" type="noConversion"/>
  </si>
  <si>
    <t>POA-TA-25T46 천성(씨엠인싸이트)유상사급</t>
  </si>
  <si>
    <t>OP2509040001</t>
  </si>
  <si>
    <t>POA-TA-25T47 천성법인-유상사급</t>
  </si>
  <si>
    <t>시스템알앤디 북미파워모듈 조립기</t>
    <phoneticPr fontId="2" type="noConversion"/>
  </si>
  <si>
    <t>시스템알앤디 북미파워모듈 조립기(추가금액)</t>
    <phoneticPr fontId="2" type="noConversion"/>
  </si>
  <si>
    <t>구분</t>
    <phoneticPr fontId="2" type="noConversion"/>
  </si>
  <si>
    <t>계약금</t>
    <phoneticPr fontId="2" type="noConversion"/>
  </si>
  <si>
    <t>중도금</t>
    <phoneticPr fontId="2" type="noConversion"/>
  </si>
  <si>
    <t>잔금</t>
    <phoneticPr fontId="2" type="noConversion"/>
  </si>
  <si>
    <t>유상사급 제외 잔금</t>
    <phoneticPr fontId="2" type="noConversion"/>
  </si>
  <si>
    <t>수금액</t>
    <phoneticPr fontId="2" type="noConversion"/>
  </si>
  <si>
    <t>금액</t>
    <phoneticPr fontId="2" type="noConversion"/>
  </si>
  <si>
    <t>수금대기</t>
    <phoneticPr fontId="2" type="noConversion"/>
  </si>
  <si>
    <t>수주금액</t>
    <phoneticPr fontId="2" type="noConversion"/>
  </si>
  <si>
    <t>수금 완료</t>
    <phoneticPr fontId="2" type="noConversion"/>
  </si>
  <si>
    <t>현미수금</t>
    <phoneticPr fontId="2" type="noConversion"/>
  </si>
  <si>
    <t>7월 15일 세금계산서 비용 수금완료시</t>
    <phoneticPr fontId="2" type="noConversion"/>
  </si>
  <si>
    <t>고객사</t>
    <phoneticPr fontId="2" type="noConversion"/>
  </si>
  <si>
    <t>텔스타</t>
    <phoneticPr fontId="2" type="noConversion"/>
  </si>
  <si>
    <t>삼기ES</t>
    <phoneticPr fontId="2" type="noConversion"/>
  </si>
  <si>
    <t>시스템알앤디</t>
    <phoneticPr fontId="2" type="noConversion"/>
  </si>
  <si>
    <t>DIT</t>
    <phoneticPr fontId="2" type="noConversion"/>
  </si>
  <si>
    <t>FPC 비젼 시스템</t>
    <phoneticPr fontId="2" type="noConversion"/>
  </si>
  <si>
    <t>계사 모니터링 시스템</t>
    <phoneticPr fontId="2" type="noConversion"/>
  </si>
  <si>
    <t>CM20260601</t>
    <phoneticPr fontId="2" type="noConversion"/>
  </si>
  <si>
    <t>CMI20260730</t>
    <phoneticPr fontId="2" type="noConversion"/>
  </si>
  <si>
    <t>CMI20260530</t>
    <phoneticPr fontId="2" type="noConversion"/>
  </si>
  <si>
    <t>CMI20260527</t>
    <phoneticPr fontId="2" type="noConversion"/>
  </si>
  <si>
    <t>세금계산서발행</t>
    <phoneticPr fontId="2" type="noConversion"/>
  </si>
  <si>
    <t>▣ 7월 미수금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</si>
</sst>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yy\-mm\-dd"/>
    <numFmt numFmtId="177" formatCode="\₩#,##0"/>
    <numFmt numFmtId="178" formatCode="_-&quot;₩&quot;* #,##0.0_-;\-&quot;₩&quot;* #,##0.0_-;_-&quot;₩&quot;* &quot;-&quot;?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10"/>
      <name val="Arial"/>
      <family val="2"/>
    </font>
    <font>
      <sz val="11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20"/>
      <color theme="1"/>
      <name val="현대하모니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32">
    <xf numFmtId="0" fontId="0" fillId="0" borderId="0" xfId="0"/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2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2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0" fontId="7" fillId="0" borderId="0" xfId="0" applyFont="1"/>
    <xf numFmtId="0" fontId="3" fillId="0" borderId="1" xfId="0" applyFont="1" applyBorder="1"/>
    <xf numFmtId="42" fontId="3" fillId="0" borderId="0" xfId="0" applyNumberFormat="1" applyFont="1" applyAlignment="1">
      <alignment vertical="center"/>
    </xf>
    <xf numFmtId="42" fontId="3" fillId="0" borderId="1" xfId="0" applyNumberFormat="1" applyFont="1" applyBorder="1" applyAlignment="1">
      <alignment horizontal="center" vertical="center"/>
    </xf>
    <xf numFmtId="42" fontId="7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2" fontId="3" fillId="0" borderId="5" xfId="0" applyNumberFormat="1" applyFont="1" applyBorder="1" applyAlignment="1">
      <alignment vertical="center"/>
    </xf>
    <xf numFmtId="42" fontId="3" fillId="3" borderId="3" xfId="0" applyNumberFormat="1" applyFont="1" applyFill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DB68EDE1-BB99-4EE6-B23E-162A3C22E544}"/>
    <cellStyle name="표준 3" xfId="3" xr:uid="{916D1F4E-C271-405E-8BA3-36E6DF73A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4621-F728-4BCC-902D-64723F3F7956}">
  <dimension ref="B1:M52"/>
  <sheetViews>
    <sheetView tabSelected="1" topLeftCell="A10" zoomScale="85" zoomScaleNormal="85" workbookViewId="0">
      <selection activeCell="J35" sqref="J35"/>
    </sheetView>
  </sheetViews>
  <sheetFormatPr defaultRowHeight="18" customHeight="1" x14ac:dyDescent="0.15"/>
  <cols>
    <col min="1" max="1" width="1.375" style="4" customWidth="1"/>
    <col min="2" max="2" width="8.875" style="4" bestFit="1" customWidth="1"/>
    <col min="3" max="3" width="14.375" style="4" bestFit="1" customWidth="1"/>
    <col min="4" max="4" width="12.625" style="4" bestFit="1" customWidth="1"/>
    <col min="5" max="5" width="12.625" style="4" customWidth="1"/>
    <col min="6" max="6" width="49.375" style="4" bestFit="1" customWidth="1"/>
    <col min="7" max="7" width="17.625" style="4" bestFit="1" customWidth="1"/>
    <col min="8" max="8" width="8.125" style="4" bestFit="1" customWidth="1"/>
    <col min="9" max="9" width="15.875" style="4" bestFit="1" customWidth="1"/>
    <col min="10" max="10" width="14.75" style="4" bestFit="1" customWidth="1"/>
    <col min="11" max="12" width="17.625" style="4" bestFit="1" customWidth="1"/>
    <col min="13" max="13" width="34.875" style="4" bestFit="1" customWidth="1"/>
    <col min="14" max="16384" width="9" style="4"/>
  </cols>
  <sheetData>
    <row r="1" spans="2:13" ht="18" customHeight="1" x14ac:dyDescent="0.15">
      <c r="B1" s="30" t="s">
        <v>77</v>
      </c>
      <c r="C1" s="30"/>
      <c r="D1" s="30"/>
      <c r="E1" s="30"/>
      <c r="F1" s="30"/>
      <c r="G1" s="28"/>
      <c r="I1" s="3" t="s">
        <v>61</v>
      </c>
      <c r="J1" s="3" t="s">
        <v>60</v>
      </c>
      <c r="K1" s="3" t="s">
        <v>62</v>
      </c>
      <c r="L1" s="3" t="s">
        <v>63</v>
      </c>
      <c r="M1" s="6" t="s">
        <v>64</v>
      </c>
    </row>
    <row r="2" spans="2:13" ht="18" customHeight="1" x14ac:dyDescent="0.15">
      <c r="B2" s="30"/>
      <c r="C2" s="30"/>
      <c r="D2" s="30"/>
      <c r="E2" s="30"/>
      <c r="F2" s="30"/>
      <c r="G2" s="28"/>
      <c r="I2" s="26">
        <f>SUMIF(H4:H45,"계약금",G4:G45)</f>
        <v>4178865000</v>
      </c>
      <c r="J2" s="26">
        <f>SUMIF(J4:J45,"*",I4:I45)</f>
        <v>80615000</v>
      </c>
      <c r="K2" s="26">
        <f>SUM(K4:K45)</f>
        <v>2509570000</v>
      </c>
      <c r="L2" s="26">
        <f>SUM(L4:L45)</f>
        <v>1358125000</v>
      </c>
      <c r="M2" s="27">
        <f>L2-J2</f>
        <v>1277510000</v>
      </c>
    </row>
    <row r="3" spans="2:13" ht="5.0999999999999996" customHeight="1" x14ac:dyDescent="0.15"/>
    <row r="4" spans="2:13" ht="18" customHeight="1" x14ac:dyDescent="0.15">
      <c r="B4" s="5" t="s">
        <v>3</v>
      </c>
      <c r="C4" s="5" t="s">
        <v>4</v>
      </c>
      <c r="D4" s="5" t="s">
        <v>5</v>
      </c>
      <c r="E4" s="5" t="s">
        <v>65</v>
      </c>
      <c r="F4" s="5" t="s">
        <v>0</v>
      </c>
      <c r="G4" s="5" t="s">
        <v>6</v>
      </c>
      <c r="H4" s="5" t="s">
        <v>53</v>
      </c>
      <c r="I4" s="5" t="s">
        <v>59</v>
      </c>
      <c r="J4" s="5" t="s">
        <v>76</v>
      </c>
      <c r="K4" s="5" t="s">
        <v>58</v>
      </c>
      <c r="L4" s="5" t="s">
        <v>7</v>
      </c>
      <c r="M4" s="5" t="s">
        <v>8</v>
      </c>
    </row>
    <row r="5" spans="2:13" ht="18" customHeight="1" x14ac:dyDescent="0.15">
      <c r="B5" s="3">
        <v>2024</v>
      </c>
      <c r="C5" s="3" t="s">
        <v>9</v>
      </c>
      <c r="D5" s="3" t="s">
        <v>10</v>
      </c>
      <c r="E5" s="3" t="s">
        <v>66</v>
      </c>
      <c r="F5" s="24" t="s">
        <v>11</v>
      </c>
      <c r="G5" s="7">
        <v>700000000</v>
      </c>
      <c r="H5" s="7" t="s">
        <v>54</v>
      </c>
      <c r="I5" s="7">
        <f>G5*0.3</f>
        <v>210000000</v>
      </c>
      <c r="J5" s="22"/>
      <c r="K5" s="7">
        <f>I5</f>
        <v>210000000</v>
      </c>
      <c r="L5" s="7"/>
      <c r="M5" s="6"/>
    </row>
    <row r="6" spans="2:13" ht="18" customHeight="1" x14ac:dyDescent="0.15">
      <c r="B6" s="3">
        <v>2024</v>
      </c>
      <c r="C6" s="3" t="s">
        <v>9</v>
      </c>
      <c r="D6" s="3" t="s">
        <v>10</v>
      </c>
      <c r="E6" s="3" t="s">
        <v>66</v>
      </c>
      <c r="F6" s="24" t="s">
        <v>11</v>
      </c>
      <c r="G6" s="7">
        <v>700000000</v>
      </c>
      <c r="H6" s="7" t="s">
        <v>55</v>
      </c>
      <c r="I6" s="7">
        <f>G6*0.5</f>
        <v>350000000</v>
      </c>
      <c r="J6" s="22"/>
      <c r="K6" s="7">
        <f>I6</f>
        <v>350000000</v>
      </c>
      <c r="L6" s="7"/>
      <c r="M6" s="6"/>
    </row>
    <row r="7" spans="2:13" ht="18" customHeight="1" x14ac:dyDescent="0.15">
      <c r="B7" s="3">
        <v>2024</v>
      </c>
      <c r="C7" s="3" t="s">
        <v>9</v>
      </c>
      <c r="D7" s="3" t="s">
        <v>10</v>
      </c>
      <c r="E7" s="3" t="s">
        <v>66</v>
      </c>
      <c r="F7" s="24" t="s">
        <v>11</v>
      </c>
      <c r="G7" s="7">
        <v>700000000</v>
      </c>
      <c r="H7" s="7" t="s">
        <v>56</v>
      </c>
      <c r="I7" s="7">
        <v>35000000</v>
      </c>
      <c r="J7" s="22"/>
      <c r="K7" s="7">
        <v>35000000</v>
      </c>
      <c r="L7" s="7"/>
      <c r="M7" s="8" t="s">
        <v>57</v>
      </c>
    </row>
    <row r="8" spans="2:13" ht="18" customHeight="1" x14ac:dyDescent="0.15">
      <c r="B8" s="3">
        <v>2025</v>
      </c>
      <c r="C8" s="3" t="s">
        <v>13</v>
      </c>
      <c r="D8" s="3" t="s">
        <v>10</v>
      </c>
      <c r="E8" s="3" t="s">
        <v>66</v>
      </c>
      <c r="F8" s="24" t="s">
        <v>14</v>
      </c>
      <c r="G8" s="7">
        <v>190000000</v>
      </c>
      <c r="H8" s="7" t="s">
        <v>54</v>
      </c>
      <c r="I8" s="7">
        <f>G8*0.3</f>
        <v>57000000</v>
      </c>
      <c r="J8" s="22"/>
      <c r="K8" s="7">
        <f>I8</f>
        <v>57000000</v>
      </c>
      <c r="L8" s="7"/>
      <c r="M8" s="6"/>
    </row>
    <row r="9" spans="2:13" ht="18" customHeight="1" x14ac:dyDescent="0.15">
      <c r="B9" s="3">
        <v>2025</v>
      </c>
      <c r="C9" s="3" t="s">
        <v>13</v>
      </c>
      <c r="D9" s="3" t="s">
        <v>10</v>
      </c>
      <c r="E9" s="3" t="s">
        <v>66</v>
      </c>
      <c r="F9" s="24" t="s">
        <v>14</v>
      </c>
      <c r="G9" s="7">
        <v>190000000</v>
      </c>
      <c r="H9" s="7" t="s">
        <v>55</v>
      </c>
      <c r="I9" s="7">
        <f>G9*0.5</f>
        <v>95000000</v>
      </c>
      <c r="J9" s="22"/>
      <c r="K9" s="7">
        <f>I9</f>
        <v>95000000</v>
      </c>
      <c r="L9" s="7"/>
      <c r="M9" s="6"/>
    </row>
    <row r="10" spans="2:13" ht="18" customHeight="1" x14ac:dyDescent="0.15">
      <c r="B10" s="3">
        <v>2025</v>
      </c>
      <c r="C10" s="3" t="s">
        <v>13</v>
      </c>
      <c r="D10" s="3" t="s">
        <v>10</v>
      </c>
      <c r="E10" s="3" t="s">
        <v>66</v>
      </c>
      <c r="F10" s="24" t="s">
        <v>14</v>
      </c>
      <c r="G10" s="7">
        <v>190000000</v>
      </c>
      <c r="H10" s="7" t="s">
        <v>56</v>
      </c>
      <c r="I10" s="7">
        <f>G10*0.2</f>
        <v>38000000</v>
      </c>
      <c r="J10" s="22" t="s">
        <v>12</v>
      </c>
      <c r="K10" s="7"/>
      <c r="L10" s="7">
        <v>38000000</v>
      </c>
      <c r="M10" s="6"/>
    </row>
    <row r="11" spans="2:13" ht="18" customHeight="1" x14ac:dyDescent="0.15">
      <c r="B11" s="3">
        <v>2025</v>
      </c>
      <c r="C11" s="3" t="s">
        <v>15</v>
      </c>
      <c r="D11" s="3" t="s">
        <v>16</v>
      </c>
      <c r="E11" s="3" t="s">
        <v>66</v>
      </c>
      <c r="F11" s="24" t="s">
        <v>17</v>
      </c>
      <c r="G11" s="7">
        <v>460000000</v>
      </c>
      <c r="H11" s="7" t="s">
        <v>54</v>
      </c>
      <c r="I11" s="7">
        <f>G11*0.3</f>
        <v>138000000</v>
      </c>
      <c r="J11" s="22"/>
      <c r="K11" s="7">
        <f>I11</f>
        <v>138000000</v>
      </c>
      <c r="L11" s="7"/>
      <c r="M11" s="6"/>
    </row>
    <row r="12" spans="2:13" ht="18" customHeight="1" x14ac:dyDescent="0.15">
      <c r="B12" s="3">
        <v>2025</v>
      </c>
      <c r="C12" s="3" t="s">
        <v>15</v>
      </c>
      <c r="D12" s="3" t="s">
        <v>16</v>
      </c>
      <c r="E12" s="3" t="s">
        <v>66</v>
      </c>
      <c r="F12" s="24" t="s">
        <v>17</v>
      </c>
      <c r="G12" s="7">
        <v>460000000</v>
      </c>
      <c r="H12" s="7" t="s">
        <v>55</v>
      </c>
      <c r="I12" s="7">
        <v>52800000</v>
      </c>
      <c r="J12" s="22"/>
      <c r="K12" s="7">
        <v>52800000</v>
      </c>
      <c r="L12" s="7"/>
      <c r="M12" s="6"/>
    </row>
    <row r="13" spans="2:13" ht="18" customHeight="1" x14ac:dyDescent="0.15">
      <c r="B13" s="3">
        <v>2025</v>
      </c>
      <c r="C13" s="3" t="s">
        <v>15</v>
      </c>
      <c r="D13" s="3" t="s">
        <v>16</v>
      </c>
      <c r="E13" s="3" t="s">
        <v>66</v>
      </c>
      <c r="F13" s="24" t="s">
        <v>17</v>
      </c>
      <c r="G13" s="7">
        <v>460000000</v>
      </c>
      <c r="H13" s="7" t="s">
        <v>56</v>
      </c>
      <c r="I13" s="7">
        <v>46000000</v>
      </c>
      <c r="J13" s="22"/>
      <c r="K13" s="7"/>
      <c r="L13" s="7">
        <f>I13</f>
        <v>46000000</v>
      </c>
      <c r="M13" s="6"/>
    </row>
    <row r="14" spans="2:13" ht="18" customHeight="1" x14ac:dyDescent="0.15">
      <c r="B14" s="3">
        <v>2026</v>
      </c>
      <c r="C14" s="3" t="s">
        <v>18</v>
      </c>
      <c r="D14" s="3" t="s">
        <v>19</v>
      </c>
      <c r="E14" s="3" t="s">
        <v>66</v>
      </c>
      <c r="F14" s="24" t="s">
        <v>20</v>
      </c>
      <c r="G14" s="7">
        <v>562300000</v>
      </c>
      <c r="H14" s="7" t="s">
        <v>54</v>
      </c>
      <c r="I14" s="7">
        <f>G14*0.3</f>
        <v>168690000</v>
      </c>
      <c r="J14" s="22"/>
      <c r="K14" s="7">
        <f>I14</f>
        <v>168690000</v>
      </c>
      <c r="L14" s="7"/>
      <c r="M14" s="6"/>
    </row>
    <row r="15" spans="2:13" ht="18" customHeight="1" x14ac:dyDescent="0.15">
      <c r="B15" s="3">
        <v>2026</v>
      </c>
      <c r="C15" s="3" t="s">
        <v>18</v>
      </c>
      <c r="D15" s="3" t="s">
        <v>19</v>
      </c>
      <c r="E15" s="3" t="s">
        <v>66</v>
      </c>
      <c r="F15" s="24" t="s">
        <v>20</v>
      </c>
      <c r="G15" s="7">
        <v>562300000</v>
      </c>
      <c r="H15" s="7" t="s">
        <v>55</v>
      </c>
      <c r="I15" s="7">
        <v>289080000</v>
      </c>
      <c r="J15" s="22"/>
      <c r="K15" s="7">
        <v>289080000</v>
      </c>
      <c r="L15" s="7"/>
      <c r="M15" s="6"/>
    </row>
    <row r="16" spans="2:13" ht="18" customHeight="1" x14ac:dyDescent="0.15">
      <c r="B16" s="3">
        <v>2026</v>
      </c>
      <c r="C16" s="3" t="s">
        <v>18</v>
      </c>
      <c r="D16" s="3" t="s">
        <v>19</v>
      </c>
      <c r="E16" s="3" t="s">
        <v>66</v>
      </c>
      <c r="F16" s="24" t="s">
        <v>20</v>
      </c>
      <c r="G16" s="7">
        <v>562300000</v>
      </c>
      <c r="H16" s="7" t="s">
        <v>56</v>
      </c>
      <c r="I16" s="7">
        <v>112460000</v>
      </c>
      <c r="J16" s="22"/>
      <c r="K16" s="7"/>
      <c r="L16" s="7">
        <f>I16</f>
        <v>112460000</v>
      </c>
      <c r="M16" s="6"/>
    </row>
    <row r="17" spans="2:13" ht="18" customHeight="1" x14ac:dyDescent="0.15">
      <c r="B17" s="3">
        <v>2026</v>
      </c>
      <c r="C17" s="3" t="s">
        <v>21</v>
      </c>
      <c r="D17" s="3" t="s">
        <v>22</v>
      </c>
      <c r="E17" s="3" t="s">
        <v>66</v>
      </c>
      <c r="F17" s="24" t="s">
        <v>2</v>
      </c>
      <c r="G17" s="7">
        <v>13950000</v>
      </c>
      <c r="H17" s="7" t="s">
        <v>54</v>
      </c>
      <c r="I17" s="7">
        <f>G17</f>
        <v>13950000</v>
      </c>
      <c r="J17" s="3"/>
      <c r="K17" s="7"/>
      <c r="L17" s="7">
        <v>13950000</v>
      </c>
      <c r="M17" s="9"/>
    </row>
    <row r="18" spans="2:13" ht="18" customHeight="1" x14ac:dyDescent="0.15">
      <c r="B18" s="3">
        <v>2026</v>
      </c>
      <c r="C18" s="3" t="s">
        <v>23</v>
      </c>
      <c r="D18" s="3" t="s">
        <v>24</v>
      </c>
      <c r="E18" s="3" t="s">
        <v>66</v>
      </c>
      <c r="F18" s="24" t="s">
        <v>25</v>
      </c>
      <c r="G18" s="7">
        <v>8000000</v>
      </c>
      <c r="H18" s="7" t="s">
        <v>54</v>
      </c>
      <c r="I18" s="7">
        <f>G18</f>
        <v>8000000</v>
      </c>
      <c r="J18" s="3"/>
      <c r="K18" s="7"/>
      <c r="L18" s="7">
        <v>8000000</v>
      </c>
      <c r="M18" s="9"/>
    </row>
    <row r="19" spans="2:13" ht="18" customHeight="1" x14ac:dyDescent="0.15">
      <c r="B19" s="3">
        <v>2026</v>
      </c>
      <c r="C19" s="3" t="s">
        <v>26</v>
      </c>
      <c r="D19" s="3" t="s">
        <v>22</v>
      </c>
      <c r="E19" s="3" t="s">
        <v>66</v>
      </c>
      <c r="F19" s="24" t="s">
        <v>2</v>
      </c>
      <c r="G19" s="7">
        <v>14615000</v>
      </c>
      <c r="H19" s="7" t="s">
        <v>54</v>
      </c>
      <c r="I19" s="7">
        <v>14615000</v>
      </c>
      <c r="J19" s="22" t="s">
        <v>27</v>
      </c>
      <c r="K19" s="7"/>
      <c r="L19" s="7">
        <v>14615000</v>
      </c>
      <c r="M19" s="9"/>
    </row>
    <row r="20" spans="2:13" ht="18" customHeight="1" x14ac:dyDescent="0.15">
      <c r="B20" s="3">
        <v>2026</v>
      </c>
      <c r="C20" s="3" t="s">
        <v>28</v>
      </c>
      <c r="D20" s="3" t="s">
        <v>16</v>
      </c>
      <c r="E20" s="3" t="s">
        <v>66</v>
      </c>
      <c r="F20" s="24" t="s">
        <v>29</v>
      </c>
      <c r="G20" s="7">
        <v>140000000</v>
      </c>
      <c r="H20" s="7" t="s">
        <v>54</v>
      </c>
      <c r="I20" s="7">
        <f>G20*0.2</f>
        <v>28000000</v>
      </c>
      <c r="J20" s="22" t="s">
        <v>12</v>
      </c>
      <c r="K20" s="7"/>
      <c r="L20" s="7">
        <f>I20</f>
        <v>28000000</v>
      </c>
      <c r="M20" s="9"/>
    </row>
    <row r="21" spans="2:13" ht="18" customHeight="1" x14ac:dyDescent="0.15">
      <c r="B21" s="3">
        <v>2026</v>
      </c>
      <c r="C21" s="3" t="s">
        <v>28</v>
      </c>
      <c r="D21" s="3" t="s">
        <v>16</v>
      </c>
      <c r="E21" s="3" t="s">
        <v>66</v>
      </c>
      <c r="F21" s="24" t="s">
        <v>29</v>
      </c>
      <c r="G21" s="7">
        <v>140000000</v>
      </c>
      <c r="H21" s="7" t="s">
        <v>55</v>
      </c>
      <c r="I21" s="7">
        <f>G21*0.6</f>
        <v>84000000</v>
      </c>
      <c r="J21" s="22"/>
      <c r="K21" s="7"/>
      <c r="L21" s="7">
        <f t="shared" ref="L21:L22" si="0">I21</f>
        <v>84000000</v>
      </c>
      <c r="M21" s="9"/>
    </row>
    <row r="22" spans="2:13" ht="18" customHeight="1" x14ac:dyDescent="0.15">
      <c r="B22" s="3">
        <v>2026</v>
      </c>
      <c r="C22" s="3" t="s">
        <v>28</v>
      </c>
      <c r="D22" s="3" t="s">
        <v>16</v>
      </c>
      <c r="E22" s="3" t="s">
        <v>66</v>
      </c>
      <c r="F22" s="24" t="s">
        <v>29</v>
      </c>
      <c r="G22" s="7">
        <v>140000000</v>
      </c>
      <c r="H22" s="7" t="s">
        <v>56</v>
      </c>
      <c r="I22" s="7">
        <f>G22*0.2</f>
        <v>28000000</v>
      </c>
      <c r="J22" s="22"/>
      <c r="K22" s="7"/>
      <c r="L22" s="7">
        <f t="shared" si="0"/>
        <v>28000000</v>
      </c>
      <c r="M22" s="9"/>
    </row>
    <row r="23" spans="2:13" ht="18" customHeight="1" x14ac:dyDescent="0.15">
      <c r="B23" s="3">
        <v>2026</v>
      </c>
      <c r="C23" s="3" t="s">
        <v>30</v>
      </c>
      <c r="D23" s="3" t="s">
        <v>31</v>
      </c>
      <c r="E23" s="3" t="s">
        <v>66</v>
      </c>
      <c r="F23" s="24" t="s">
        <v>32</v>
      </c>
      <c r="G23" s="7">
        <v>120000000</v>
      </c>
      <c r="H23" s="7" t="s">
        <v>54</v>
      </c>
      <c r="I23" s="7">
        <f>G23*0.2</f>
        <v>24000000</v>
      </c>
      <c r="J23" s="22"/>
      <c r="K23" s="7">
        <v>24000000</v>
      </c>
      <c r="L23" s="7"/>
      <c r="M23" s="9"/>
    </row>
    <row r="24" spans="2:13" ht="18" customHeight="1" x14ac:dyDescent="0.15">
      <c r="B24" s="3">
        <v>2026</v>
      </c>
      <c r="C24" s="3" t="s">
        <v>30</v>
      </c>
      <c r="D24" s="3" t="s">
        <v>31</v>
      </c>
      <c r="E24" s="3" t="s">
        <v>66</v>
      </c>
      <c r="F24" s="24" t="s">
        <v>32</v>
      </c>
      <c r="G24" s="7">
        <v>120000000</v>
      </c>
      <c r="H24" s="7" t="s">
        <v>55</v>
      </c>
      <c r="I24" s="7">
        <f>G24*0.6</f>
        <v>72000000</v>
      </c>
      <c r="J24" s="22"/>
      <c r="K24" s="7"/>
      <c r="L24" s="7">
        <f t="shared" ref="L24:L25" si="1">I24</f>
        <v>72000000</v>
      </c>
      <c r="M24" s="9"/>
    </row>
    <row r="25" spans="2:13" ht="18" customHeight="1" x14ac:dyDescent="0.15">
      <c r="B25" s="3">
        <v>2026</v>
      </c>
      <c r="C25" s="3" t="s">
        <v>30</v>
      </c>
      <c r="D25" s="3" t="s">
        <v>31</v>
      </c>
      <c r="E25" s="3" t="s">
        <v>66</v>
      </c>
      <c r="F25" s="24" t="s">
        <v>32</v>
      </c>
      <c r="G25" s="7">
        <v>120000000</v>
      </c>
      <c r="H25" s="7" t="s">
        <v>56</v>
      </c>
      <c r="I25" s="7">
        <f>G25*0.2</f>
        <v>24000000</v>
      </c>
      <c r="J25" s="22"/>
      <c r="K25" s="7"/>
      <c r="L25" s="7">
        <f t="shared" si="1"/>
        <v>24000000</v>
      </c>
      <c r="M25" s="9"/>
    </row>
    <row r="26" spans="2:13" s="14" customFormat="1" ht="18" customHeight="1" x14ac:dyDescent="0.15">
      <c r="B26" s="3">
        <v>2026</v>
      </c>
      <c r="C26" s="10" t="s">
        <v>33</v>
      </c>
      <c r="D26" s="10" t="s">
        <v>31</v>
      </c>
      <c r="E26" s="3" t="s">
        <v>66</v>
      </c>
      <c r="F26" s="25" t="s">
        <v>34</v>
      </c>
      <c r="G26" s="12">
        <v>-1900000</v>
      </c>
      <c r="H26" s="12"/>
      <c r="I26" s="12"/>
      <c r="J26" s="23"/>
      <c r="K26" s="12"/>
      <c r="L26" s="12">
        <v>-1900000</v>
      </c>
      <c r="M26" s="13" t="s">
        <v>35</v>
      </c>
    </row>
    <row r="27" spans="2:13" ht="18" customHeight="1" x14ac:dyDescent="0.15">
      <c r="B27" s="3">
        <v>2026</v>
      </c>
      <c r="C27" s="3"/>
      <c r="D27" s="3" t="s">
        <v>36</v>
      </c>
      <c r="E27" s="3" t="s">
        <v>66</v>
      </c>
      <c r="F27" s="24" t="s">
        <v>37</v>
      </c>
      <c r="G27" s="7">
        <v>31000000</v>
      </c>
      <c r="H27" s="7" t="s">
        <v>54</v>
      </c>
      <c r="I27" s="7">
        <f>G27*0.2</f>
        <v>6200000</v>
      </c>
      <c r="J27" s="22"/>
      <c r="K27" s="7">
        <v>6200000</v>
      </c>
      <c r="L27" s="7"/>
      <c r="M27" s="9"/>
    </row>
    <row r="28" spans="2:13" ht="18" customHeight="1" x14ac:dyDescent="0.15">
      <c r="B28" s="3">
        <v>2026</v>
      </c>
      <c r="C28" s="3"/>
      <c r="D28" s="3" t="s">
        <v>36</v>
      </c>
      <c r="E28" s="3" t="s">
        <v>66</v>
      </c>
      <c r="F28" s="24" t="s">
        <v>37</v>
      </c>
      <c r="G28" s="7">
        <v>31000000</v>
      </c>
      <c r="H28" s="7" t="s">
        <v>55</v>
      </c>
      <c r="I28" s="7">
        <f>G28*0.6</f>
        <v>18600000</v>
      </c>
      <c r="J28" s="22"/>
      <c r="K28" s="7">
        <v>18600000</v>
      </c>
      <c r="L28" s="7"/>
      <c r="M28" s="9"/>
    </row>
    <row r="29" spans="2:13" ht="18" customHeight="1" x14ac:dyDescent="0.15">
      <c r="B29" s="3">
        <v>2026</v>
      </c>
      <c r="C29" s="3"/>
      <c r="D29" s="3" t="s">
        <v>36</v>
      </c>
      <c r="E29" s="3" t="s">
        <v>66</v>
      </c>
      <c r="F29" s="24" t="s">
        <v>37</v>
      </c>
      <c r="G29" s="7">
        <v>31000000</v>
      </c>
      <c r="H29" s="7" t="s">
        <v>56</v>
      </c>
      <c r="I29" s="7">
        <f>G29*0.2</f>
        <v>6200000</v>
      </c>
      <c r="J29" s="22"/>
      <c r="K29" s="7"/>
      <c r="L29" s="7">
        <f t="shared" ref="L29" si="2">I29</f>
        <v>6200000</v>
      </c>
      <c r="M29" s="9"/>
    </row>
    <row r="30" spans="2:13" ht="18" customHeight="1" x14ac:dyDescent="0.15">
      <c r="B30" s="3">
        <v>2026</v>
      </c>
      <c r="C30" s="3" t="s">
        <v>38</v>
      </c>
      <c r="D30" s="3" t="s">
        <v>39</v>
      </c>
      <c r="E30" s="3" t="s">
        <v>66</v>
      </c>
      <c r="F30" s="24"/>
      <c r="G30" s="7">
        <v>11000000</v>
      </c>
      <c r="H30" s="7" t="s">
        <v>56</v>
      </c>
      <c r="I30" s="15"/>
      <c r="J30" s="3"/>
      <c r="K30" s="7"/>
      <c r="L30" s="7">
        <v>11000000</v>
      </c>
      <c r="M30" s="6"/>
    </row>
    <row r="31" spans="2:13" ht="18" customHeight="1" x14ac:dyDescent="0.15">
      <c r="B31" s="3">
        <v>2026</v>
      </c>
      <c r="C31" s="3"/>
      <c r="D31" s="3" t="s">
        <v>72</v>
      </c>
      <c r="E31" s="3" t="s">
        <v>68</v>
      </c>
      <c r="F31" s="24" t="s">
        <v>51</v>
      </c>
      <c r="G31" s="7">
        <v>1305000000</v>
      </c>
      <c r="H31" s="7" t="s">
        <v>54</v>
      </c>
      <c r="I31" s="7">
        <f>G31*0.3</f>
        <v>391500000</v>
      </c>
      <c r="J31" s="3"/>
      <c r="K31" s="7">
        <f>I31</f>
        <v>391500000</v>
      </c>
      <c r="L31" s="7"/>
      <c r="M31" s="6"/>
    </row>
    <row r="32" spans="2:13" ht="18" customHeight="1" x14ac:dyDescent="0.15">
      <c r="B32" s="3">
        <v>2026</v>
      </c>
      <c r="C32" s="3"/>
      <c r="D32" s="3" t="s">
        <v>72</v>
      </c>
      <c r="E32" s="3" t="s">
        <v>68</v>
      </c>
      <c r="F32" s="24" t="s">
        <v>51</v>
      </c>
      <c r="G32" s="7">
        <v>1305000000</v>
      </c>
      <c r="H32" s="7" t="s">
        <v>55</v>
      </c>
      <c r="I32" s="7">
        <f>G32*0.5</f>
        <v>652500000</v>
      </c>
      <c r="J32" s="3"/>
      <c r="K32" s="7">
        <f>I32</f>
        <v>652500000</v>
      </c>
      <c r="L32" s="7"/>
      <c r="M32" s="6"/>
    </row>
    <row r="33" spans="2:13" ht="18" customHeight="1" x14ac:dyDescent="0.15">
      <c r="B33" s="3">
        <v>2026</v>
      </c>
      <c r="C33" s="3"/>
      <c r="D33" s="3" t="s">
        <v>72</v>
      </c>
      <c r="E33" s="3" t="s">
        <v>68</v>
      </c>
      <c r="F33" s="24" t="s">
        <v>51</v>
      </c>
      <c r="G33" s="7">
        <v>1305000000</v>
      </c>
      <c r="H33" s="7" t="s">
        <v>56</v>
      </c>
      <c r="I33" s="7">
        <f>G33*0.2</f>
        <v>261000000</v>
      </c>
      <c r="J33" s="3"/>
      <c r="K33" s="7"/>
      <c r="L33" s="7">
        <f>I33</f>
        <v>261000000</v>
      </c>
      <c r="M33" s="6"/>
    </row>
    <row r="34" spans="2:13" ht="18" customHeight="1" x14ac:dyDescent="0.15">
      <c r="B34" s="3">
        <v>2026</v>
      </c>
      <c r="C34" s="3"/>
      <c r="D34" s="3" t="s">
        <v>73</v>
      </c>
      <c r="E34" s="3" t="s">
        <v>68</v>
      </c>
      <c r="F34" s="24" t="s">
        <v>52</v>
      </c>
      <c r="G34" s="7">
        <v>570000000</v>
      </c>
      <c r="H34" s="7" t="s">
        <v>54</v>
      </c>
      <c r="I34" s="7">
        <f>G34*0.3</f>
        <v>171000000</v>
      </c>
      <c r="J34" s="31">
        <v>46249</v>
      </c>
      <c r="K34" s="7"/>
      <c r="L34" s="7">
        <f>I34</f>
        <v>171000000</v>
      </c>
      <c r="M34" s="6"/>
    </row>
    <row r="35" spans="2:13" ht="18" customHeight="1" x14ac:dyDescent="0.15">
      <c r="B35" s="3">
        <v>2026</v>
      </c>
      <c r="C35" s="3"/>
      <c r="D35" s="3" t="s">
        <v>73</v>
      </c>
      <c r="E35" s="3" t="s">
        <v>68</v>
      </c>
      <c r="F35" s="24" t="s">
        <v>52</v>
      </c>
      <c r="G35" s="7">
        <v>570000000</v>
      </c>
      <c r="H35" s="7" t="s">
        <v>55</v>
      </c>
      <c r="I35" s="7">
        <f>G35*0.5</f>
        <v>285000000</v>
      </c>
      <c r="J35" s="3"/>
      <c r="K35" s="7"/>
      <c r="L35" s="7">
        <f t="shared" ref="L35:L36" si="3">I35</f>
        <v>285000000</v>
      </c>
      <c r="M35" s="6"/>
    </row>
    <row r="36" spans="2:13" ht="18" customHeight="1" x14ac:dyDescent="0.15">
      <c r="B36" s="3">
        <v>2026</v>
      </c>
      <c r="C36" s="6"/>
      <c r="D36" s="3" t="s">
        <v>73</v>
      </c>
      <c r="E36" s="3" t="s">
        <v>68</v>
      </c>
      <c r="F36" s="24" t="s">
        <v>52</v>
      </c>
      <c r="G36" s="7">
        <v>570000000</v>
      </c>
      <c r="H36" s="6" t="s">
        <v>56</v>
      </c>
      <c r="I36" s="7">
        <f>G36*0.2</f>
        <v>114000000</v>
      </c>
      <c r="J36" s="3"/>
      <c r="K36" s="7"/>
      <c r="L36" s="7">
        <f t="shared" si="3"/>
        <v>114000000</v>
      </c>
      <c r="M36" s="6"/>
    </row>
    <row r="37" spans="2:13" ht="18" customHeight="1" x14ac:dyDescent="0.15">
      <c r="B37" s="3">
        <v>2026</v>
      </c>
      <c r="C37" s="6"/>
      <c r="D37" s="3" t="s">
        <v>74</v>
      </c>
      <c r="E37" s="3" t="s">
        <v>67</v>
      </c>
      <c r="F37" s="24" t="s">
        <v>70</v>
      </c>
      <c r="G37" s="7">
        <v>34000000</v>
      </c>
      <c r="H37" s="6" t="s">
        <v>54</v>
      </c>
      <c r="I37" s="7">
        <f>G37*0.3</f>
        <v>10200000</v>
      </c>
      <c r="J37" s="3"/>
      <c r="K37" s="7">
        <f>I37</f>
        <v>10200000</v>
      </c>
      <c r="L37" s="7"/>
      <c r="M37" s="6"/>
    </row>
    <row r="38" spans="2:13" ht="18" customHeight="1" x14ac:dyDescent="0.15">
      <c r="B38" s="3">
        <v>2026</v>
      </c>
      <c r="C38" s="6"/>
      <c r="D38" s="3" t="s">
        <v>74</v>
      </c>
      <c r="E38" s="3" t="s">
        <v>67</v>
      </c>
      <c r="F38" s="24" t="s">
        <v>70</v>
      </c>
      <c r="G38" s="7">
        <v>34000000</v>
      </c>
      <c r="H38" s="6" t="s">
        <v>55</v>
      </c>
      <c r="I38" s="7">
        <f>G38*0.4</f>
        <v>13600000</v>
      </c>
      <c r="J38" s="3"/>
      <c r="K38" s="7"/>
      <c r="L38" s="7">
        <f>I38</f>
        <v>13600000</v>
      </c>
      <c r="M38" s="6"/>
    </row>
    <row r="39" spans="2:13" ht="18" customHeight="1" x14ac:dyDescent="0.15">
      <c r="B39" s="3">
        <v>2026</v>
      </c>
      <c r="C39" s="6"/>
      <c r="D39" s="3" t="s">
        <v>74</v>
      </c>
      <c r="E39" s="3" t="s">
        <v>67</v>
      </c>
      <c r="F39" s="24" t="s">
        <v>70</v>
      </c>
      <c r="G39" s="7">
        <v>34000000</v>
      </c>
      <c r="H39" s="6" t="s">
        <v>56</v>
      </c>
      <c r="I39" s="7">
        <f>G39*0.3</f>
        <v>10200000</v>
      </c>
      <c r="J39" s="3"/>
      <c r="K39" s="7"/>
      <c r="L39" s="7">
        <f>I39</f>
        <v>10200000</v>
      </c>
      <c r="M39" s="6"/>
    </row>
    <row r="40" spans="2:13" ht="18" customHeight="1" x14ac:dyDescent="0.15">
      <c r="B40" s="3">
        <v>2026</v>
      </c>
      <c r="C40" s="6"/>
      <c r="D40" s="3" t="s">
        <v>75</v>
      </c>
      <c r="E40" s="3" t="s">
        <v>69</v>
      </c>
      <c r="F40" s="24" t="s">
        <v>71</v>
      </c>
      <c r="G40" s="7">
        <v>30000000</v>
      </c>
      <c r="H40" s="6" t="s">
        <v>54</v>
      </c>
      <c r="I40" s="7">
        <v>11000000</v>
      </c>
      <c r="J40" s="3"/>
      <c r="K40" s="7">
        <f>I40</f>
        <v>11000000</v>
      </c>
      <c r="L40" s="7"/>
      <c r="M40" s="6"/>
    </row>
    <row r="41" spans="2:13" ht="18" customHeight="1" x14ac:dyDescent="0.15">
      <c r="B41" s="3">
        <v>2026</v>
      </c>
      <c r="C41" s="6"/>
      <c r="D41" s="3" t="s">
        <v>75</v>
      </c>
      <c r="E41" s="3" t="s">
        <v>69</v>
      </c>
      <c r="F41" s="24" t="s">
        <v>71</v>
      </c>
      <c r="G41" s="7">
        <v>30000000</v>
      </c>
      <c r="H41" s="6" t="s">
        <v>56</v>
      </c>
      <c r="I41" s="7">
        <v>19000000</v>
      </c>
      <c r="J41" s="29">
        <v>46218</v>
      </c>
      <c r="K41" s="7"/>
      <c r="L41" s="7">
        <f>I41</f>
        <v>19000000</v>
      </c>
      <c r="M41" s="6"/>
    </row>
    <row r="42" spans="2:13" ht="18" customHeight="1" x14ac:dyDescent="0.15">
      <c r="B42" s="1"/>
      <c r="C42" s="1"/>
      <c r="D42" s="1"/>
      <c r="E42" s="1"/>
      <c r="F42" s="1"/>
      <c r="G42" s="16"/>
      <c r="H42" s="1"/>
      <c r="I42" s="16"/>
      <c r="J42" s="2"/>
      <c r="K42" s="16"/>
      <c r="L42" s="16"/>
      <c r="M42" s="1"/>
    </row>
    <row r="43" spans="2:13" ht="18" customHeight="1" x14ac:dyDescent="0.15">
      <c r="B43" s="1"/>
      <c r="C43" s="1"/>
      <c r="D43" s="1"/>
      <c r="E43" s="1"/>
      <c r="F43" s="1"/>
      <c r="G43" s="16"/>
      <c r="H43" s="1"/>
      <c r="I43" s="16"/>
      <c r="J43" s="1"/>
      <c r="K43" s="16"/>
      <c r="L43" s="16"/>
      <c r="M43" s="1"/>
    </row>
    <row r="44" spans="2:13" ht="18" customHeight="1" x14ac:dyDescent="0.15">
      <c r="B44" s="1"/>
      <c r="C44" s="1"/>
      <c r="D44" s="1"/>
      <c r="E44" s="1"/>
      <c r="F44" s="1"/>
      <c r="G44" s="16"/>
      <c r="H44" s="1"/>
      <c r="I44" s="16"/>
      <c r="J44" s="1"/>
      <c r="K44" s="16"/>
      <c r="L44" s="16"/>
      <c r="M44" s="1"/>
    </row>
    <row r="47" spans="2:13" ht="18" customHeight="1" x14ac:dyDescent="0.15">
      <c r="B47" s="4" t="s">
        <v>40</v>
      </c>
    </row>
    <row r="48" spans="2:13" ht="18" customHeight="1" x14ac:dyDescent="0.15">
      <c r="B48" s="5" t="s">
        <v>3</v>
      </c>
      <c r="C48" s="5" t="s">
        <v>4</v>
      </c>
      <c r="D48" s="5" t="s">
        <v>5</v>
      </c>
      <c r="E48" s="5"/>
      <c r="F48" s="5" t="s">
        <v>0</v>
      </c>
      <c r="G48" s="5" t="s">
        <v>6</v>
      </c>
      <c r="H48" s="5"/>
      <c r="I48" s="5" t="s">
        <v>1</v>
      </c>
      <c r="J48" s="5" t="s">
        <v>41</v>
      </c>
      <c r="K48" s="5" t="s">
        <v>42</v>
      </c>
    </row>
    <row r="49" spans="2:13" ht="18" customHeight="1" x14ac:dyDescent="0.15">
      <c r="B49" s="3">
        <v>2025</v>
      </c>
      <c r="C49" s="3" t="s">
        <v>43</v>
      </c>
      <c r="D49" s="3" t="s">
        <v>44</v>
      </c>
      <c r="E49" s="3"/>
      <c r="F49" s="6" t="s">
        <v>45</v>
      </c>
      <c r="G49" s="7">
        <v>220000000</v>
      </c>
      <c r="H49" s="7"/>
      <c r="I49" s="17" t="s">
        <v>46</v>
      </c>
      <c r="J49" s="7">
        <v>44000000</v>
      </c>
      <c r="K49" s="3"/>
    </row>
    <row r="50" spans="2:13" s="14" customFormat="1" ht="18" customHeight="1" x14ac:dyDescent="0.15">
      <c r="B50" s="10"/>
      <c r="C50" s="10" t="s">
        <v>47</v>
      </c>
      <c r="D50" s="10" t="s">
        <v>44</v>
      </c>
      <c r="E50" s="10"/>
      <c r="F50" s="11" t="s">
        <v>48</v>
      </c>
      <c r="G50" s="12">
        <v>-61700000</v>
      </c>
      <c r="H50" s="12"/>
      <c r="I50" s="12"/>
      <c r="J50" s="12">
        <v>-30850000</v>
      </c>
      <c r="K50" s="10"/>
    </row>
    <row r="51" spans="2:13" s="14" customFormat="1" ht="18" customHeight="1" thickBot="1" x14ac:dyDescent="0.2">
      <c r="B51" s="10"/>
      <c r="C51" s="10" t="s">
        <v>49</v>
      </c>
      <c r="D51" s="10" t="s">
        <v>44</v>
      </c>
      <c r="E51" s="10"/>
      <c r="F51" s="11" t="s">
        <v>50</v>
      </c>
      <c r="G51" s="12">
        <v>-24800000</v>
      </c>
      <c r="H51" s="18"/>
      <c r="I51" s="18"/>
      <c r="J51" s="18">
        <v>-12400000</v>
      </c>
      <c r="K51" s="10"/>
    </row>
    <row r="52" spans="2:13" ht="18" customHeight="1" thickBot="1" x14ac:dyDescent="0.2">
      <c r="B52" s="19"/>
      <c r="C52" s="19"/>
      <c r="D52" s="19"/>
      <c r="E52" s="19"/>
      <c r="F52" s="19"/>
      <c r="G52" s="19"/>
      <c r="H52" s="19"/>
      <c r="I52" s="20"/>
      <c r="J52" s="21">
        <v>750000</v>
      </c>
      <c r="K52" s="19"/>
      <c r="L52" s="1"/>
      <c r="M52" s="1"/>
    </row>
  </sheetData>
  <mergeCells count="1">
    <mergeCell ref="B1:F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Changmin Lee</dc:creator>
  <cp:lastModifiedBy>Changmin Lee</cp:lastModifiedBy>
  <dcterms:created xsi:type="dcterms:W3CDTF">2015-06-05T18:19:34Z</dcterms:created>
  <dcterms:modified xsi:type="dcterms:W3CDTF">2026-07-19T03:29:42Z</dcterms:modified>
</cp:coreProperties>
</file>